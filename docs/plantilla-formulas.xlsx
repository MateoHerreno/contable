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Windows\OneDrive\Escritorio\"/>
    </mc:Choice>
  </mc:AlternateContent>
  <xr:revisionPtr revIDLastSave="0" documentId="8_{A36CF193-C903-447B-A2E0-3F479C45769B}" xr6:coauthVersionLast="43" xr6:coauthVersionMax="43" xr10:uidLastSave="{00000000-0000-0000-0000-000000000000}"/>
  <bookViews>
    <workbookView xWindow="-108" yWindow="-108" windowWidth="23256" windowHeight="12456" activeTab="2" xr2:uid="{00000000-000D-0000-FFFF-FFFF00000000}"/>
  </bookViews>
  <sheets>
    <sheet name="CXC(CARTERA)" sheetId="1" r:id="rId1"/>
    <sheet name="CXP (EGRESOS)" sheetId="2" r:id="rId2"/>
    <sheet name="EST.RES" sheetId="4" r:id="rId3"/>
    <sheet name="FLUJO DE CAJA" sheetId="5" r:id="rId4"/>
    <sheet name="PLANTILLAS" sheetId="9" r:id="rId5"/>
    <sheet name="Hoja4" sheetId="10" r:id="rId6"/>
    <sheet name="ee" sheetId="6" state="hidden" r:id="rId7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uri="GoogleSheetsCustomDataVersion2">
      <go:sheetsCustomData xmlns:go="http://customooxmlschemas.google.com/" r:id="rId10" roundtripDataChecksum="wivsJma2IUxL4U5UUio9zSig5oRitPm1DEOEkCCXDv0="/>
    </ext>
  </extLst>
</workbook>
</file>

<file path=xl/calcChain.xml><?xml version="1.0" encoding="utf-8"?>
<calcChain xmlns="http://schemas.openxmlformats.org/spreadsheetml/2006/main">
  <c r="F19" i="4" l="1"/>
  <c r="E19" i="4"/>
  <c r="F18" i="4"/>
  <c r="E18" i="4"/>
  <c r="F17" i="4"/>
  <c r="E17" i="4"/>
  <c r="F16" i="4"/>
  <c r="E16" i="4"/>
  <c r="G21" i="2"/>
  <c r="H21" i="2"/>
  <c r="G10" i="2"/>
  <c r="J10" i="2" s="1"/>
  <c r="F11" i="4"/>
  <c r="E11" i="4"/>
  <c r="F10" i="4"/>
  <c r="E10" i="4"/>
  <c r="J16" i="1"/>
  <c r="I16" i="1"/>
  <c r="F16" i="1"/>
  <c r="G16" i="1" s="1"/>
  <c r="H16" i="1" s="1"/>
  <c r="K16" i="1" s="1"/>
  <c r="J15" i="1"/>
  <c r="I15" i="1"/>
  <c r="F15" i="1"/>
  <c r="G15" i="1" s="1"/>
  <c r="I14" i="1"/>
  <c r="F14" i="1"/>
  <c r="F7" i="1"/>
  <c r="F6" i="1"/>
  <c r="F5" i="1"/>
  <c r="J21" i="2" l="1"/>
  <c r="G14" i="1"/>
  <c r="H14" i="1" s="1"/>
  <c r="K14" i="1" s="1"/>
  <c r="H15" i="1"/>
  <c r="K15" i="1" s="1"/>
  <c r="G5" i="1"/>
  <c r="H5" i="1" s="1"/>
  <c r="K5" i="1" s="1"/>
  <c r="G6" i="1"/>
  <c r="H6" i="1" s="1"/>
  <c r="K6" i="1" s="1"/>
  <c r="G7" i="1"/>
  <c r="H7" i="1" s="1"/>
  <c r="K7" i="1" s="1"/>
  <c r="J10" i="1"/>
  <c r="K8" i="1"/>
  <c r="K9" i="1"/>
  <c r="K18" i="1" s="1"/>
  <c r="H12" i="1"/>
  <c r="F13" i="1"/>
  <c r="J13" i="1"/>
  <c r="J19" i="1" s="1"/>
  <c r="E19" i="1"/>
  <c r="D17" i="5"/>
  <c r="D15" i="5"/>
  <c r="C15" i="5"/>
  <c r="D14" i="5"/>
  <c r="C14" i="5"/>
  <c r="D12" i="5"/>
  <c r="C12" i="5"/>
  <c r="C18" i="5" s="1"/>
  <c r="C8" i="5"/>
  <c r="D7" i="5"/>
  <c r="C7" i="5"/>
  <c r="C9" i="5" s="1"/>
  <c r="F23" i="4"/>
  <c r="E23" i="4"/>
  <c r="F6" i="4"/>
  <c r="F22" i="2"/>
  <c r="G20" i="2"/>
  <c r="G19" i="2"/>
  <c r="I18" i="2"/>
  <c r="G18" i="2"/>
  <c r="G17" i="2"/>
  <c r="J17" i="2" s="1"/>
  <c r="G16" i="2"/>
  <c r="J16" i="2" s="1"/>
  <c r="G15" i="2"/>
  <c r="G14" i="2"/>
  <c r="J14" i="2" s="1"/>
  <c r="H11" i="2"/>
  <c r="G9" i="2"/>
  <c r="J9" i="2" s="1"/>
  <c r="H20" i="2" s="1"/>
  <c r="G8" i="2"/>
  <c r="J8" i="2" s="1"/>
  <c r="H19" i="2" s="1"/>
  <c r="I7" i="2"/>
  <c r="G7" i="2"/>
  <c r="G6" i="2"/>
  <c r="J6" i="2" s="1"/>
  <c r="K6" i="2" s="1"/>
  <c r="G5" i="2"/>
  <c r="J5" i="2" s="1"/>
  <c r="K5" i="2" s="1"/>
  <c r="G4" i="2"/>
  <c r="J4" i="2" s="1"/>
  <c r="H15" i="2" s="1"/>
  <c r="I3" i="2"/>
  <c r="G3" i="2"/>
  <c r="J3" i="2" s="1"/>
  <c r="K3" i="2" s="1"/>
  <c r="I10" i="1"/>
  <c r="E10" i="1"/>
  <c r="E5" i="4" s="1"/>
  <c r="E4" i="4" s="1"/>
  <c r="F4" i="1"/>
  <c r="G4" i="1" s="1"/>
  <c r="H3" i="1"/>
  <c r="K3" i="1" s="1"/>
  <c r="I12" i="1" s="1"/>
  <c r="K9" i="2" l="1"/>
  <c r="K8" i="2"/>
  <c r="J19" i="2"/>
  <c r="J20" i="2"/>
  <c r="J15" i="2"/>
  <c r="F15" i="4"/>
  <c r="F5" i="4"/>
  <c r="F4" i="4" s="1"/>
  <c r="E12" i="5"/>
  <c r="E22" i="2"/>
  <c r="F9" i="4" s="1"/>
  <c r="J7" i="2"/>
  <c r="E15" i="5"/>
  <c r="E11" i="2"/>
  <c r="E15" i="4"/>
  <c r="E14" i="5"/>
  <c r="I11" i="2"/>
  <c r="H13" i="1"/>
  <c r="F19" i="1"/>
  <c r="G19" i="1"/>
  <c r="K12" i="1"/>
  <c r="G10" i="1"/>
  <c r="C20" i="5"/>
  <c r="I22" i="2"/>
  <c r="F10" i="1"/>
  <c r="H4" i="1"/>
  <c r="F11" i="2"/>
  <c r="D8" i="5"/>
  <c r="E8" i="5" s="1"/>
  <c r="D18" i="5"/>
  <c r="E18" i="5" s="1"/>
  <c r="H18" i="2" l="1"/>
  <c r="J18" i="2" s="1"/>
  <c r="J22" i="2" s="1"/>
  <c r="K7" i="2"/>
  <c r="E9" i="4"/>
  <c r="E13" i="4" s="1"/>
  <c r="E21" i="4" s="1"/>
  <c r="E27" i="4" s="1"/>
  <c r="E32" i="4" s="1"/>
  <c r="F13" i="4"/>
  <c r="F21" i="4" s="1"/>
  <c r="F27" i="4" s="1"/>
  <c r="F32" i="4" s="1"/>
  <c r="G22" i="2"/>
  <c r="H19" i="1"/>
  <c r="J11" i="2"/>
  <c r="K11" i="2" s="1"/>
  <c r="G11" i="2"/>
  <c r="K4" i="1"/>
  <c r="I13" i="1" s="1"/>
  <c r="H10" i="1"/>
  <c r="D9" i="5"/>
  <c r="H22" i="2" l="1"/>
  <c r="K13" i="1"/>
  <c r="I19" i="1"/>
  <c r="D20" i="5"/>
  <c r="E20" i="5" s="1"/>
  <c r="E9" i="5"/>
  <c r="K10" i="1"/>
  <c r="K1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3" authorId="0" shapeId="0" xr:uid="{00000000-0006-0000-0000-000017000000}">
      <text>
        <r>
          <rPr>
            <sz val="11"/>
            <color theme="1"/>
            <rFont val="Arial"/>
            <scheme val="minor"/>
          </rPr>
          <t>======
ID#AAABdXizGeo
Jessica Gómez    (2025-02-05 19:26:13)
Pago ene 31</t>
        </r>
      </text>
    </comment>
    <comment ref="J12" authorId="0" shapeId="0" xr:uid="{00000000-0006-0000-0000-000012000000}">
      <text>
        <r>
          <rPr>
            <sz val="11"/>
            <color theme="1"/>
            <rFont val="Arial"/>
            <scheme val="minor"/>
          </rPr>
          <t>======
ID#AAABfZ2um68
Jessica Gómez    (2025-03-06 19:11:59)
Pago feb 28</t>
        </r>
      </text>
    </comment>
    <comment ref="J13" authorId="0" shapeId="0" xr:uid="{00000000-0006-0000-0000-000016000000}">
      <text>
        <r>
          <rPr>
            <sz val="11"/>
            <color theme="1"/>
            <rFont val="Arial"/>
            <scheme val="minor"/>
          </rPr>
          <t>======
ID#AAABdM_ySKM
Jessica Gómez    (2025-02-24 16:23:31)
Pago feb 20
Pago feb 26</t>
        </r>
      </text>
    </comment>
    <comment ref="J14" authorId="0" shapeId="0" xr:uid="{F0690EB7-92E4-46AB-BACC-C1D2DEC132D5}">
      <text>
        <r>
          <rPr>
            <sz val="11"/>
            <color theme="1"/>
            <rFont val="Arial"/>
            <scheme val="minor"/>
          </rPr>
          <t>======
ID#AAABdM_ySKM
Jessica Gómez    (2025-02-24 16:23:31)
Pago feb 20
Pago feb 26</t>
        </r>
      </text>
    </comment>
    <comment ref="J15" authorId="0" shapeId="0" xr:uid="{F43F5B11-264C-4290-8F22-98519A07217C}">
      <text>
        <r>
          <rPr>
            <sz val="11"/>
            <color theme="1"/>
            <rFont val="Arial"/>
            <scheme val="minor"/>
          </rPr>
          <t>======
ID#AAABdM_ySKM
Jessica Gómez    (2025-02-24 16:23:31)
Pago feb 20
Pago feb 26</t>
        </r>
      </text>
    </comment>
    <comment ref="J16" authorId="0" shapeId="0" xr:uid="{0FACFA49-8F0A-48F9-915C-A6F0459A6AED}">
      <text>
        <r>
          <rPr>
            <sz val="11"/>
            <color theme="1"/>
            <rFont val="Arial"/>
            <scheme val="minor"/>
          </rPr>
          <t>======
ID#AAABdM_ySKM
Jessica Gómez    (2025-02-24 16:23:31)
Pago feb 20
Pago feb 26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/8BHVMQURWvU/wsNI3jwFuB9jO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3" authorId="0" shapeId="0" xr:uid="{00000000-0006-0000-0100-00003F000000}">
      <text>
        <r>
          <rPr>
            <sz val="11"/>
            <color theme="1"/>
            <rFont val="Arial"/>
            <scheme val="minor"/>
          </rPr>
          <t>======
ID#AAABbqdF7bg
Jessica Gómez    (2025-01-21 03:17:41)
Pago ene 02
Pago ene 18
Pago ene 23
Pago ene 31</t>
        </r>
      </text>
    </comment>
    <comment ref="I4" authorId="0" shapeId="0" xr:uid="{00000000-0006-0000-0100-000033000000}">
      <text>
        <r>
          <rPr>
            <sz val="11"/>
            <color theme="1"/>
            <rFont val="Arial"/>
            <scheme val="minor"/>
          </rPr>
          <t>======
ID#AAABdXizGe0
Jessica Gómez    (2025-02-05 19:38:51)
Pago Q2 ene en ene 31</t>
        </r>
      </text>
    </comment>
    <comment ref="I5" authorId="0" shapeId="0" xr:uid="{00000000-0006-0000-0100-00003A000000}">
      <text>
        <r>
          <rPr>
            <sz val="11"/>
            <color theme="1"/>
            <rFont val="Arial"/>
            <scheme val="minor"/>
          </rPr>
          <t>======
ID#AAABbqdF7b0
Jessica Gómez    (2025-01-21 03:31:12)
Pago ene 11</t>
        </r>
      </text>
    </comment>
    <comment ref="I6" authorId="0" shapeId="0" xr:uid="{00000000-0006-0000-0100-000035000000}">
      <text>
        <r>
          <rPr>
            <sz val="11"/>
            <color theme="1"/>
            <rFont val="Arial"/>
            <scheme val="minor"/>
          </rPr>
          <t>======
ID#AAABdXizGes
Jessica Gómez    (2025-02-05 19:37:09)
Pago ene 31</t>
        </r>
      </text>
    </comment>
    <comment ref="I7" authorId="0" shapeId="0" xr:uid="{00000000-0006-0000-0100-00003C000000}">
      <text>
        <r>
          <rPr>
            <sz val="11"/>
            <color theme="1"/>
            <rFont val="Arial"/>
            <scheme val="minor"/>
          </rPr>
          <t>======
ID#AAABbqdF7bs
Jessica Gómez    (2025-01-21 03:29:11)
Pago ene 07
Pago ene 23
Pago ene 31</t>
        </r>
      </text>
    </comment>
    <comment ref="I14" authorId="0" shapeId="0" xr:uid="{00000000-0006-0000-0100-00002A000000}">
      <text>
        <r>
          <rPr>
            <sz val="11"/>
            <color theme="1"/>
            <rFont val="Arial"/>
            <scheme val="minor"/>
          </rPr>
          <t>======
ID#AAABdM_ySKc
Jessica Gómez    (2025-02-24 16:35:05)
Pago feb 15</t>
        </r>
      </text>
    </comment>
    <comment ref="I15" authorId="0" shapeId="0" xr:uid="{00000000-0006-0000-0100-00002B000000}">
      <text>
        <r>
          <rPr>
            <sz val="11"/>
            <color theme="1"/>
            <rFont val="Arial"/>
            <scheme val="minor"/>
          </rPr>
          <t>======
ID#AAABdM_ySKY
Jessica Gómez    (2025-02-24 16:34:44)
Pago feb 15</t>
        </r>
      </text>
    </comment>
    <comment ref="I16" authorId="0" shapeId="0" xr:uid="{00000000-0006-0000-0100-000026000000}">
      <text>
        <r>
          <rPr>
            <sz val="11"/>
            <color theme="1"/>
            <rFont val="Arial"/>
            <scheme val="minor"/>
          </rPr>
          <t>======
ID#AAABfDHFjTk
Jessica Gómez    (2025-02-28 15:52:14)
Pago feb 28</t>
        </r>
      </text>
    </comment>
    <comment ref="I18" authorId="0" shapeId="0" xr:uid="{00000000-0006-0000-0100-00002E000000}">
      <text>
        <r>
          <rPr>
            <sz val="11"/>
            <color theme="1"/>
            <rFont val="Arial"/>
            <scheme val="minor"/>
          </rPr>
          <t>======
ID#AAABdjfdJCM
Jessica Gómez    (2025-02-07 19:26:47)
Pago feb 06
Pago feb 15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iCB16hefx2C9aXo42v8Q6pgD7M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7" authorId="0" shapeId="0" xr:uid="{00000000-0006-0000-0400-000001000000}">
      <text>
        <r>
          <rPr>
            <sz val="11"/>
            <color theme="1"/>
            <rFont val="Arial"/>
            <scheme val="minor"/>
          </rPr>
          <t>======
ID#AAABbqdF7bU
Jessica Gómez    (2024-01-22 18:28:18)
Pago int. bimensuales para cxp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xeUiXUv/6Oj6iHCVac6h5gMqX8A=="/>
    </ext>
  </extLst>
</comments>
</file>

<file path=xl/sharedStrings.xml><?xml version="1.0" encoding="utf-8"?>
<sst xmlns="http://schemas.openxmlformats.org/spreadsheetml/2006/main" count="194" uniqueCount="126">
  <si>
    <t>FEHCA FE</t>
  </si>
  <si>
    <t># FE</t>
  </si>
  <si>
    <t>CONCEPTO</t>
  </si>
  <si>
    <t xml:space="preserve">VALOR BRUTO FACTURADO </t>
  </si>
  <si>
    <t>IVA</t>
  </si>
  <si>
    <t>RETENCIONES PRACTICADAS</t>
  </si>
  <si>
    <t>NETO FACTURADO DEL PERIODO</t>
  </si>
  <si>
    <t>SALDO ANTERIOR</t>
  </si>
  <si>
    <t xml:space="preserve">PAGOS Y ABONOS RECIBIDOS </t>
  </si>
  <si>
    <t>FE-239</t>
  </si>
  <si>
    <t>CLINICA MEDICO-ODONTOLOGICA PROMTA S.A.S</t>
  </si>
  <si>
    <t>DES PAG WEB</t>
  </si>
  <si>
    <t>FE-240</t>
  </si>
  <si>
    <t>CDI EXHIBICIONES S.A.S</t>
  </si>
  <si>
    <t>CONSULTORIA DE MERCADEO</t>
  </si>
  <si>
    <t xml:space="preserve"> </t>
  </si>
  <si>
    <t>TOTALES DEL PERIODO</t>
  </si>
  <si>
    <t>FE-247</t>
  </si>
  <si>
    <t>FE-248</t>
  </si>
  <si>
    <t>VALOR BRUTO</t>
  </si>
  <si>
    <t>IMPUESTO</t>
  </si>
  <si>
    <t>VALOR NETO</t>
  </si>
  <si>
    <t>SALDO DEL PERIODO ANTERIOR</t>
  </si>
  <si>
    <t>ABONO DEL PERIODO</t>
  </si>
  <si>
    <t>ALEJANDRO ROMERO</t>
  </si>
  <si>
    <t>SOFIA LOPERA (HIJA CRISTINA)</t>
  </si>
  <si>
    <t>SEGURIDAD SOCIAL</t>
  </si>
  <si>
    <t xml:space="preserve">PRESTACIONES SOC. EMPLEADOS </t>
  </si>
  <si>
    <t xml:space="preserve">INTERES CESANTÍAS ALEJANDRO </t>
  </si>
  <si>
    <t>Maria Camila  (+ cta de cobro Nury )</t>
  </si>
  <si>
    <t>COMIONES SERVICIOS CONSULT. Y MARKETING + REEMBOLSOM TRANSP</t>
  </si>
  <si>
    <t xml:space="preserve">Jhon Penagos - CLARA INES </t>
  </si>
  <si>
    <t>COMIONES SERVICIOS CONSULT. Y MARKETING</t>
  </si>
  <si>
    <t>Reinaldo Jaramillo</t>
  </si>
  <si>
    <t>HONORARIOS CONTABLES</t>
  </si>
  <si>
    <t>UTILIDAD BRUTA</t>
  </si>
  <si>
    <t>ESTADO DE RESULTADO MENSUAL</t>
  </si>
  <si>
    <t>ENERO</t>
  </si>
  <si>
    <t>FEBRERO</t>
  </si>
  <si>
    <t>INGRESOS DEL MES</t>
  </si>
  <si>
    <t>CONSULTORIAS DE MERCADEO</t>
  </si>
  <si>
    <t xml:space="preserve">DES PAG WEB, PIEZAS Y OTROS </t>
  </si>
  <si>
    <t>DEVOCLCIÓN EN VENTAS</t>
  </si>
  <si>
    <t xml:space="preserve">COSTOS MERCADEO </t>
  </si>
  <si>
    <t>NÓMINA</t>
  </si>
  <si>
    <t>SERVICIO DE MARKETING DE TERCEROS</t>
  </si>
  <si>
    <t>GASTOS ADMINISTRATIVOS</t>
  </si>
  <si>
    <t>HONORARIOS ADMON</t>
  </si>
  <si>
    <t>UTILIDAD OPERACIONAL</t>
  </si>
  <si>
    <t xml:space="preserve">OTROS COSTOS Y GASTOS </t>
  </si>
  <si>
    <t>INGRESOS FINANCIEROS</t>
  </si>
  <si>
    <t>GASTOS BANCARIOS 4X1000</t>
  </si>
  <si>
    <t xml:space="preserve">UTILIDAD ANTES DE IMPUESTOS </t>
  </si>
  <si>
    <t>UTILIDAD/GANACIA DEL MES</t>
  </si>
  <si>
    <t>FLUJO DE CAJA PROYECTADO</t>
  </si>
  <si>
    <t>ENERO(PROYECTADO)</t>
  </si>
  <si>
    <t>ENERO (REAL)</t>
  </si>
  <si>
    <t>% DE EJECUCION</t>
  </si>
  <si>
    <t>FEBRERO(PROYECTADO)</t>
  </si>
  <si>
    <t>FEBRERO (REAL)</t>
  </si>
  <si>
    <t>Saldo inicial</t>
  </si>
  <si>
    <t>Ingresos por operaciones/facturado del periodo</t>
  </si>
  <si>
    <t>Ingresos por recuperación de cartera</t>
  </si>
  <si>
    <t>Total Ingresos</t>
  </si>
  <si>
    <t>Egresos</t>
  </si>
  <si>
    <t>Pago de nómina</t>
  </si>
  <si>
    <t xml:space="preserve">Pago prestaciones sociales </t>
  </si>
  <si>
    <t>Pago de Seguridad social</t>
  </si>
  <si>
    <t>Pago proveedores servicios</t>
  </si>
  <si>
    <t>Pago de impuestos</t>
  </si>
  <si>
    <t>Otros</t>
  </si>
  <si>
    <t>Total Egresos</t>
  </si>
  <si>
    <t>Flujo de disponible del periodo proyect./real</t>
  </si>
  <si>
    <t>CLIENTE</t>
  </si>
  <si>
    <t>TOTAL DE CUENTAS POR COBRAR AL PERIODO</t>
  </si>
  <si>
    <t xml:space="preserve">PERANITO </t>
  </si>
  <si>
    <t>TAL FULANO</t>
  </si>
  <si>
    <t>SILLAS</t>
  </si>
  <si>
    <t>ESCRITORIO</t>
  </si>
  <si>
    <t>FECHA</t>
  </si>
  <si>
    <t># FE / CUENTAS DE COBRO</t>
  </si>
  <si>
    <t>PROOVEEDOR</t>
  </si>
  <si>
    <t>SALDOS PENDIENTES POR PAGAR A LA FECHA</t>
  </si>
  <si>
    <t>ESTADO (GENERA EL PDF)</t>
  </si>
  <si>
    <t>NOMINA Q1 Y Q2</t>
  </si>
  <si>
    <t>EN LA "J2 Y J3" QUE SON LOS SALDOS DE NÓMINA, DEBE LLEVAR UNA COFNIGURACION ESPECIAL, ES DECIR, QUE SOLO ME TOME EL 50% DE LA NOMINA, ES DECIR, LO SEPARE POR QUINCENAS, DEL 1 AL 15 SERÍA LA Q1 Y DEL 16 AL 30 O 31, SERÍA LA Q2, SI SE LLEGARA A HAVER IN ABONO O DESCUENRTRO, SÓLO SE LE RESTE A ESE QUINCENA EN ESPECIAL.</t>
  </si>
  <si>
    <t xml:space="preserve">SIEMRPE MUESTRE LOS DOS ULTIMOS MESES </t>
  </si>
  <si>
    <t>CESANTIAS</t>
  </si>
  <si>
    <t>PLANTILLA FACTURACCIÓN</t>
  </si>
  <si>
    <t>PLANTILLA COMPRAS DE SERVICIOS O PRODUCTOS</t>
  </si>
  <si>
    <t>CREAR EL CLIENTE</t>
  </si>
  <si>
    <t>NOMBRES Y APELLIDOS</t>
  </si>
  <si>
    <t>TELEFONO</t>
  </si>
  <si>
    <t>DIRECCION</t>
  </si>
  <si>
    <t>CIUDAD</t>
  </si>
  <si>
    <t>IDENTIFICACION</t>
  </si>
  <si>
    <t>CORREO</t>
  </si>
  <si>
    <t>1.1</t>
  </si>
  <si>
    <t>CREAR CONSUMIDOR FINAL (SE CREA CON LOS DATOS DEL PROPIETARIO Y CON NIT 222222222)</t>
  </si>
  <si>
    <t>#FE O RECIBO</t>
  </si>
  <si>
    <t>CLEINTE</t>
  </si>
  <si>
    <t>PRODUCTO O SERVICIO</t>
  </si>
  <si>
    <t>VALOR UNITARIO</t>
  </si>
  <si>
    <t>CANTIDAD</t>
  </si>
  <si>
    <t>VALOR TOTAL</t>
  </si>
  <si>
    <t>VALOR BEUTO</t>
  </si>
  <si>
    <t>IMPTOS</t>
  </si>
  <si>
    <t>PROVEEDOR</t>
  </si>
  <si>
    <t>CONTADO O CRÉDITO</t>
  </si>
  <si>
    <t>CC</t>
  </si>
  <si>
    <t>NOMBRES</t>
  </si>
  <si>
    <t>PLANTILLA DE PAGOS O ABONOS RECIBIDOS</t>
  </si>
  <si>
    <t>PLANTILLA PAGOS O ABONOS REALIZADOS</t>
  </si>
  <si>
    <t xml:space="preserve">CON ESTOS DATOS, EL SISTEMA DEBE CARGAR LA INFORMACIÓN DE LAS FACTURAS PENDIENTES  POR COBRAR AL ´CLIENTE </t>
  </si>
  <si>
    <t xml:space="preserve">CON ESTOS DATOS, EL SISTEMA DEBE CARGAR LA INFORMACIÓN DE LAS FACTURAS PENDIENTES POR PAGAR AL PROVEEDOR </t>
  </si>
  <si>
    <t>PENDIENTE</t>
  </si>
  <si>
    <t>FE-249</t>
  </si>
  <si>
    <t>FE-250</t>
  </si>
  <si>
    <t>FE-251</t>
  </si>
  <si>
    <t>FE-241</t>
  </si>
  <si>
    <t>FE-242</t>
  </si>
  <si>
    <t>FE-243</t>
  </si>
  <si>
    <t xml:space="preserve">PERANO </t>
  </si>
  <si>
    <t>SULTANEJO</t>
  </si>
  <si>
    <t xml:space="preserve"> ESTOS SE INGRESAN LOS VALORES , PORQUE SE CALCULAN EXTERNAMENTE </t>
  </si>
  <si>
    <t xml:space="preserve">GASTOS POR IMPUESTOS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</si>
</sst>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\-m\-yyyy"/>
    <numFmt numFmtId="165" formatCode="_-* #,##0.00_-;\-* #,##0.00_-;_-* &quot;-&quot;??_-;_-@"/>
    <numFmt numFmtId="166" formatCode="dd\-mm\-yy"/>
    <numFmt numFmtId="167" formatCode="&quot;$&quot;#,##0.00"/>
  </numFmts>
  <fonts count="9" x14ac:knownFonts="1">
    <font>
      <sz val="11"/>
      <color theme="1"/>
      <name val="Arial"/>
      <scheme val="minor"/>
    </font>
    <font>
      <sz val="11"/>
      <name val="Arial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Arial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theme="1"/>
      <name val="Arial"/>
      <scheme val="minor"/>
    </font>
    <font>
      <sz val="8"/>
      <name val="Arial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7B7B7"/>
        <bgColor rgb="FFB7B7B7"/>
      </patternFill>
    </fill>
    <fill>
      <patternFill patternType="solid">
        <fgColor rgb="FFA6A6A6"/>
        <bgColor rgb="FFA6A6A6"/>
      </patternFill>
    </fill>
    <fill>
      <patternFill patternType="solid">
        <fgColor rgb="FF8FD7DC"/>
        <bgColor rgb="FF8FD7DC"/>
      </patternFill>
    </fill>
    <fill>
      <patternFill patternType="solid">
        <fgColor rgb="FF7AD592"/>
        <bgColor rgb="FF7AD592"/>
      </patternFill>
    </fill>
    <fill>
      <patternFill patternType="solid">
        <fgColor rgb="FFF28E85"/>
        <bgColor rgb="FFF28E85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C6D9F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46">
    <xf numFmtId="0" fontId="0" fillId="0" borderId="0" xfId="0" applyFont="1" applyAlignment="1"/>
    <xf numFmtId="0" fontId="2" fillId="0" borderId="0" xfId="0" applyFont="1"/>
    <xf numFmtId="0" fontId="2" fillId="2" borderId="3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165" fontId="2" fillId="0" borderId="3" xfId="0" applyNumberFormat="1" applyFont="1" applyBorder="1"/>
    <xf numFmtId="0" fontId="2" fillId="0" borderId="0" xfId="0" applyFont="1" applyAlignment="1"/>
    <xf numFmtId="0" fontId="2" fillId="0" borderId="3" xfId="0" applyFont="1" applyBorder="1"/>
    <xf numFmtId="165" fontId="2" fillId="0" borderId="9" xfId="0" applyNumberFormat="1" applyFont="1" applyBorder="1"/>
    <xf numFmtId="0" fontId="2" fillId="2" borderId="10" xfId="0" applyFont="1" applyFill="1" applyBorder="1" applyAlignment="1">
      <alignment wrapText="1"/>
    </xf>
    <xf numFmtId="165" fontId="2" fillId="0" borderId="0" xfId="0" applyNumberFormat="1" applyFont="1" applyAlignment="1">
      <alignment horizontal="center"/>
    </xf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4" fontId="2" fillId="0" borderId="0" xfId="0" applyNumberFormat="1" applyFont="1"/>
    <xf numFmtId="10" fontId="2" fillId="0" borderId="3" xfId="0" applyNumberFormat="1" applyFont="1" applyBorder="1"/>
    <xf numFmtId="0" fontId="4" fillId="0" borderId="0" xfId="0" applyFont="1"/>
    <xf numFmtId="0" fontId="6" fillId="0" borderId="13" xfId="0" applyFont="1" applyBorder="1" applyAlignment="1"/>
    <xf numFmtId="0" fontId="6" fillId="0" borderId="3" xfId="0" applyFont="1" applyBorder="1" applyAlignment="1"/>
    <xf numFmtId="165" fontId="6" fillId="3" borderId="14" xfId="0" applyNumberFormat="1" applyFont="1" applyFill="1" applyBorder="1"/>
    <xf numFmtId="0" fontId="5" fillId="0" borderId="13" xfId="0" applyFont="1" applyBorder="1"/>
    <xf numFmtId="0" fontId="7" fillId="0" borderId="0" xfId="0" applyFont="1"/>
    <xf numFmtId="165" fontId="6" fillId="3" borderId="15" xfId="0" applyNumberFormat="1" applyFont="1" applyFill="1" applyBorder="1"/>
    <xf numFmtId="0" fontId="6" fillId="3" borderId="13" xfId="0" applyFont="1" applyFill="1" applyBorder="1"/>
    <xf numFmtId="0" fontId="2" fillId="2" borderId="3" xfId="0" applyFont="1" applyFill="1" applyBorder="1" applyAlignment="1">
      <alignment wrapText="1"/>
    </xf>
    <xf numFmtId="0" fontId="2" fillId="5" borderId="3" xfId="0" applyFont="1" applyFill="1" applyBorder="1"/>
    <xf numFmtId="165" fontId="3" fillId="5" borderId="3" xfId="0" applyNumberFormat="1" applyFont="1" applyFill="1" applyBorder="1"/>
    <xf numFmtId="165" fontId="3" fillId="5" borderId="3" xfId="0" applyNumberFormat="1" applyFont="1" applyFill="1" applyBorder="1" applyAlignment="1"/>
    <xf numFmtId="10" fontId="2" fillId="5" borderId="3" xfId="0" applyNumberFormat="1" applyFont="1" applyFill="1" applyBorder="1"/>
    <xf numFmtId="0" fontId="2" fillId="6" borderId="3" xfId="0" applyFont="1" applyFill="1" applyBorder="1"/>
    <xf numFmtId="165" fontId="2" fillId="6" borderId="3" xfId="0" applyNumberFormat="1" applyFont="1" applyFill="1" applyBorder="1"/>
    <xf numFmtId="10" fontId="2" fillId="6" borderId="3" xfId="0" applyNumberFormat="1" applyFont="1" applyFill="1" applyBorder="1"/>
    <xf numFmtId="0" fontId="2" fillId="7" borderId="3" xfId="0" applyFont="1" applyFill="1" applyBorder="1"/>
    <xf numFmtId="165" fontId="2" fillId="7" borderId="3" xfId="0" applyNumberFormat="1" applyFont="1" applyFill="1" applyBorder="1"/>
    <xf numFmtId="10" fontId="2" fillId="7" borderId="3" xfId="0" applyNumberFormat="1" applyFont="1" applyFill="1" applyBorder="1"/>
    <xf numFmtId="0" fontId="2" fillId="8" borderId="3" xfId="0" applyFont="1" applyFill="1" applyBorder="1"/>
    <xf numFmtId="165" fontId="2" fillId="8" borderId="3" xfId="0" applyNumberFormat="1" applyFont="1" applyFill="1" applyBorder="1"/>
    <xf numFmtId="10" fontId="2" fillId="8" borderId="3" xfId="0" applyNumberFormat="1" applyFont="1" applyFill="1" applyBorder="1"/>
    <xf numFmtId="0" fontId="0" fillId="9" borderId="0" xfId="0" applyFont="1" applyFill="1" applyAlignment="1"/>
    <xf numFmtId="0" fontId="1" fillId="0" borderId="17" xfId="0" applyFont="1" applyBorder="1"/>
    <xf numFmtId="0" fontId="2" fillId="10" borderId="0" xfId="0" applyFont="1" applyFill="1" applyAlignment="1">
      <alignment wrapText="1"/>
    </xf>
    <xf numFmtId="0" fontId="2" fillId="11" borderId="10" xfId="0" applyFont="1" applyFill="1" applyBorder="1" applyAlignment="1">
      <alignment wrapText="1"/>
    </xf>
    <xf numFmtId="0" fontId="2" fillId="10" borderId="16" xfId="0" applyFont="1" applyFill="1" applyBorder="1" applyAlignment="1">
      <alignment wrapText="1"/>
    </xf>
    <xf numFmtId="0" fontId="2" fillId="0" borderId="16" xfId="0" applyFont="1" applyBorder="1" applyAlignment="1">
      <alignment wrapText="1"/>
    </xf>
    <xf numFmtId="165" fontId="2" fillId="0" borderId="0" xfId="0" applyNumberFormat="1" applyFont="1" applyAlignment="1"/>
    <xf numFmtId="165" fontId="5" fillId="12" borderId="13" xfId="0" applyNumberFormat="1" applyFont="1" applyFill="1" applyBorder="1" applyAlignment="1"/>
    <xf numFmtId="0" fontId="5" fillId="12" borderId="13" xfId="0" applyFont="1" applyFill="1" applyBorder="1"/>
    <xf numFmtId="165" fontId="5" fillId="12" borderId="13" xfId="0" applyNumberFormat="1" applyFont="1" applyFill="1" applyBorder="1"/>
    <xf numFmtId="164" fontId="2" fillId="12" borderId="4" xfId="0" applyNumberFormat="1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2" borderId="3" xfId="0" applyFont="1" applyFill="1" applyBorder="1" applyAlignment="1">
      <alignment wrapText="1"/>
    </xf>
    <xf numFmtId="165" fontId="2" fillId="12" borderId="3" xfId="0" applyNumberFormat="1" applyFont="1" applyFill="1" applyBorder="1" applyAlignment="1"/>
    <xf numFmtId="165" fontId="2" fillId="12" borderId="3" xfId="0" applyNumberFormat="1" applyFont="1" applyFill="1" applyBorder="1"/>
    <xf numFmtId="165" fontId="2" fillId="12" borderId="5" xfId="0" applyNumberFormat="1" applyFont="1" applyFill="1" applyBorder="1" applyAlignment="1"/>
    <xf numFmtId="165" fontId="2" fillId="12" borderId="5" xfId="0" applyNumberFormat="1" applyFont="1" applyFill="1" applyBorder="1"/>
    <xf numFmtId="0" fontId="2" fillId="12" borderId="3" xfId="0" applyFont="1" applyFill="1" applyBorder="1"/>
    <xf numFmtId="165" fontId="2" fillId="12" borderId="4" xfId="0" applyNumberFormat="1" applyFont="1" applyFill="1" applyBorder="1"/>
    <xf numFmtId="165" fontId="2" fillId="12" borderId="4" xfId="0" applyNumberFormat="1" applyFont="1" applyFill="1" applyBorder="1" applyAlignment="1"/>
    <xf numFmtId="165" fontId="5" fillId="13" borderId="13" xfId="0" applyNumberFormat="1" applyFont="1" applyFill="1" applyBorder="1"/>
    <xf numFmtId="0" fontId="2" fillId="14" borderId="10" xfId="0" applyFont="1" applyFill="1" applyBorder="1" applyAlignment="1">
      <alignment horizontal="center" vertical="center" wrapText="1"/>
    </xf>
    <xf numFmtId="0" fontId="3" fillId="13" borderId="3" xfId="0" applyFont="1" applyFill="1" applyBorder="1"/>
    <xf numFmtId="165" fontId="3" fillId="13" borderId="3" xfId="0" applyNumberFormat="1" applyFont="1" applyFill="1" applyBorder="1" applyAlignment="1"/>
    <xf numFmtId="165" fontId="3" fillId="13" borderId="3" xfId="0" applyNumberFormat="1" applyFont="1" applyFill="1" applyBorder="1"/>
    <xf numFmtId="0" fontId="1" fillId="13" borderId="11" xfId="0" applyFont="1" applyFill="1" applyBorder="1"/>
    <xf numFmtId="0" fontId="3" fillId="13" borderId="3" xfId="0" applyFont="1" applyFill="1" applyBorder="1" applyAlignment="1">
      <alignment wrapText="1"/>
    </xf>
    <xf numFmtId="165" fontId="5" fillId="15" borderId="13" xfId="0" applyNumberFormat="1" applyFont="1" applyFill="1" applyBorder="1"/>
    <xf numFmtId="0" fontId="1" fillId="15" borderId="11" xfId="0" applyFont="1" applyFill="1" applyBorder="1"/>
    <xf numFmtId="0" fontId="3" fillId="15" borderId="3" xfId="0" applyFont="1" applyFill="1" applyBorder="1"/>
    <xf numFmtId="165" fontId="3" fillId="15" borderId="3" xfId="0" applyNumberFormat="1" applyFont="1" applyFill="1" applyBorder="1" applyAlignment="1"/>
    <xf numFmtId="165" fontId="3" fillId="15" borderId="3" xfId="0" applyNumberFormat="1" applyFont="1" applyFill="1" applyBorder="1"/>
    <xf numFmtId="0" fontId="3" fillId="15" borderId="3" xfId="0" applyFont="1" applyFill="1" applyBorder="1" applyAlignment="1">
      <alignment wrapText="1"/>
    </xf>
    <xf numFmtId="0" fontId="3" fillId="15" borderId="3" xfId="0" applyFont="1" applyFill="1" applyBorder="1" applyAlignment="1"/>
    <xf numFmtId="165" fontId="5" fillId="15" borderId="15" xfId="0" applyNumberFormat="1" applyFont="1" applyFill="1" applyBorder="1"/>
    <xf numFmtId="165" fontId="5" fillId="16" borderId="13" xfId="0" applyNumberFormat="1" applyFont="1" applyFill="1" applyBorder="1" applyAlignment="1"/>
    <xf numFmtId="165" fontId="5" fillId="16" borderId="13" xfId="0" applyNumberFormat="1" applyFont="1" applyFill="1" applyBorder="1"/>
    <xf numFmtId="0" fontId="1" fillId="16" borderId="11" xfId="0" applyFont="1" applyFill="1" applyBorder="1"/>
    <xf numFmtId="0" fontId="3" fillId="16" borderId="3" xfId="0" applyFont="1" applyFill="1" applyBorder="1" applyAlignment="1">
      <alignment wrapText="1"/>
    </xf>
    <xf numFmtId="0" fontId="3" fillId="16" borderId="3" xfId="0" applyFont="1" applyFill="1" applyBorder="1"/>
    <xf numFmtId="165" fontId="3" fillId="16" borderId="3" xfId="0" applyNumberFormat="1" applyFont="1" applyFill="1" applyBorder="1" applyAlignment="1"/>
    <xf numFmtId="165" fontId="3" fillId="16" borderId="3" xfId="0" applyNumberFormat="1" applyFont="1" applyFill="1" applyBorder="1"/>
    <xf numFmtId="165" fontId="5" fillId="17" borderId="13" xfId="0" applyNumberFormat="1" applyFont="1" applyFill="1" applyBorder="1"/>
    <xf numFmtId="0" fontId="5" fillId="17" borderId="13" xfId="0" applyFont="1" applyFill="1" applyBorder="1"/>
    <xf numFmtId="165" fontId="5" fillId="18" borderId="13" xfId="0" applyNumberFormat="1" applyFont="1" applyFill="1" applyBorder="1"/>
    <xf numFmtId="0" fontId="1" fillId="18" borderId="11" xfId="0" applyFont="1" applyFill="1" applyBorder="1"/>
    <xf numFmtId="0" fontId="3" fillId="18" borderId="3" xfId="0" applyFont="1" applyFill="1" applyBorder="1" applyAlignment="1">
      <alignment wrapText="1"/>
    </xf>
    <xf numFmtId="0" fontId="3" fillId="18" borderId="3" xfId="0" applyFont="1" applyFill="1" applyBorder="1"/>
    <xf numFmtId="165" fontId="3" fillId="18" borderId="3" xfId="0" applyNumberFormat="1" applyFont="1" applyFill="1" applyBorder="1" applyAlignment="1"/>
    <xf numFmtId="165" fontId="3" fillId="18" borderId="3" xfId="0" applyNumberFormat="1" applyFont="1" applyFill="1" applyBorder="1"/>
    <xf numFmtId="0" fontId="0" fillId="0" borderId="16" xfId="0" applyFont="1" applyBorder="1" applyAlignment="1"/>
    <xf numFmtId="0" fontId="0" fillId="9" borderId="18" xfId="0" applyFont="1" applyFill="1" applyBorder="1" applyAlignment="1"/>
    <xf numFmtId="0" fontId="4" fillId="9" borderId="0" xfId="0" applyFont="1" applyFill="1"/>
    <xf numFmtId="165" fontId="4" fillId="9" borderId="0" xfId="0" applyNumberFormat="1" applyFont="1" applyFill="1"/>
    <xf numFmtId="14" fontId="2" fillId="0" borderId="6" xfId="0" applyNumberFormat="1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14" fontId="2" fillId="0" borderId="7" xfId="0" applyNumberFormat="1" applyFont="1" applyBorder="1" applyAlignment="1">
      <alignment horizontal="center"/>
    </xf>
    <xf numFmtId="14" fontId="2" fillId="0" borderId="8" xfId="0" applyNumberFormat="1" applyFont="1" applyBorder="1" applyAlignment="1">
      <alignment horizontal="center"/>
    </xf>
    <xf numFmtId="0" fontId="2" fillId="9" borderId="0" xfId="0" applyFont="1" applyFill="1" applyAlignment="1">
      <alignment horizontal="center" wrapText="1"/>
    </xf>
    <xf numFmtId="0" fontId="4" fillId="0" borderId="1" xfId="0" applyFont="1" applyBorder="1"/>
    <xf numFmtId="0" fontId="1" fillId="0" borderId="12" xfId="0" applyFont="1" applyBorder="1"/>
    <xf numFmtId="0" fontId="6" fillId="3" borderId="1" xfId="0" applyFont="1" applyFill="1" applyBorder="1"/>
    <xf numFmtId="0" fontId="1" fillId="0" borderId="2" xfId="0" applyFont="1" applyBorder="1"/>
    <xf numFmtId="0" fontId="5" fillId="0" borderId="1" xfId="0" applyFont="1" applyBorder="1"/>
    <xf numFmtId="0" fontId="5" fillId="17" borderId="1" xfId="0" applyFont="1" applyFill="1" applyBorder="1"/>
    <xf numFmtId="0" fontId="1" fillId="17" borderId="2" xfId="0" applyFont="1" applyFill="1" applyBorder="1"/>
    <xf numFmtId="0" fontId="1" fillId="17" borderId="12" xfId="0" applyFont="1" applyFill="1" applyBorder="1"/>
    <xf numFmtId="0" fontId="5" fillId="17" borderId="1" xfId="0" applyFont="1" applyFill="1" applyBorder="1" applyAlignment="1"/>
    <xf numFmtId="0" fontId="5" fillId="16" borderId="1" xfId="0" applyFont="1" applyFill="1" applyBorder="1"/>
    <xf numFmtId="0" fontId="1" fillId="16" borderId="2" xfId="0" applyFont="1" applyFill="1" applyBorder="1"/>
    <xf numFmtId="0" fontId="1" fillId="16" borderId="12" xfId="0" applyFont="1" applyFill="1" applyBorder="1"/>
    <xf numFmtId="0" fontId="5" fillId="15" borderId="1" xfId="0" applyFont="1" applyFill="1" applyBorder="1"/>
    <xf numFmtId="0" fontId="1" fillId="15" borderId="2" xfId="0" applyFont="1" applyFill="1" applyBorder="1"/>
    <xf numFmtId="0" fontId="1" fillId="15" borderId="12" xfId="0" applyFont="1" applyFill="1" applyBorder="1"/>
    <xf numFmtId="0" fontId="5" fillId="12" borderId="1" xfId="0" applyFont="1" applyFill="1" applyBorder="1"/>
    <xf numFmtId="0" fontId="1" fillId="12" borderId="2" xfId="0" applyFont="1" applyFill="1" applyBorder="1"/>
    <xf numFmtId="0" fontId="1" fillId="12" borderId="12" xfId="0" applyFont="1" applyFill="1" applyBorder="1"/>
    <xf numFmtId="0" fontId="5" fillId="13" borderId="1" xfId="0" applyFont="1" applyFill="1" applyBorder="1"/>
    <xf numFmtId="0" fontId="1" fillId="13" borderId="2" xfId="0" applyFont="1" applyFill="1" applyBorder="1"/>
    <xf numFmtId="0" fontId="1" fillId="13" borderId="12" xfId="0" applyFont="1" applyFill="1" applyBorder="1"/>
    <xf numFmtId="0" fontId="5" fillId="18" borderId="1" xfId="0" applyFont="1" applyFill="1" applyBorder="1"/>
    <xf numFmtId="0" fontId="1" fillId="18" borderId="2" xfId="0" applyFont="1" applyFill="1" applyBorder="1"/>
    <xf numFmtId="0" fontId="1" fillId="18" borderId="12" xfId="0" applyFont="1" applyFill="1" applyBorder="1"/>
    <xf numFmtId="0" fontId="6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4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6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165" fontId="2" fillId="12" borderId="1" xfId="0" applyNumberFormat="1" applyFont="1" applyFill="1" applyBorder="1" applyAlignment="1"/>
    <xf numFmtId="165" fontId="2" fillId="12" borderId="1" xfId="0" applyNumberFormat="1" applyFont="1" applyFill="1" applyBorder="1"/>
    <xf numFmtId="165" fontId="2" fillId="12" borderId="19" xfId="0" applyNumberFormat="1" applyFont="1" applyFill="1" applyBorder="1"/>
    <xf numFmtId="165" fontId="2" fillId="0" borderId="6" xfId="0" applyNumberFormat="1" applyFont="1" applyBorder="1"/>
    <xf numFmtId="165" fontId="2" fillId="12" borderId="19" xfId="0" applyNumberFormat="1" applyFont="1" applyFill="1" applyBorder="1" applyAlignment="1"/>
    <xf numFmtId="0" fontId="2" fillId="2" borderId="20" xfId="0" applyFont="1" applyFill="1" applyBorder="1" applyAlignment="1">
      <alignment horizontal="center" wrapText="1"/>
    </xf>
    <xf numFmtId="0" fontId="2" fillId="0" borderId="21" xfId="0" applyFont="1" applyBorder="1"/>
    <xf numFmtId="165" fontId="2" fillId="12" borderId="22" xfId="0" applyNumberFormat="1" applyFont="1" applyFill="1" applyBorder="1"/>
    <xf numFmtId="165" fontId="2" fillId="0" borderId="23" xfId="0" applyNumberFormat="1" applyFont="1" applyBorder="1"/>
    <xf numFmtId="165" fontId="2" fillId="0" borderId="24" xfId="0" applyNumberFormat="1" applyFont="1" applyBorder="1"/>
    <xf numFmtId="165" fontId="2" fillId="0" borderId="3" xfId="0" applyNumberFormat="1" applyFont="1" applyFill="1" applyBorder="1"/>
    <xf numFmtId="0" fontId="2" fillId="0" borderId="0" xfId="0" applyFont="1" applyFill="1"/>
    <xf numFmtId="165" fontId="3" fillId="19" borderId="3" xfId="0" applyNumberFormat="1" applyFont="1" applyFill="1" applyBorder="1" applyAlignment="1"/>
    <xf numFmtId="0" fontId="5" fillId="16" borderId="2" xfId="0" applyFont="1" applyFill="1" applyBorder="1"/>
    <xf numFmtId="0" fontId="5" fillId="16" borderId="12" xfId="0" applyFont="1" applyFill="1" applyBorder="1"/>
    <xf numFmtId="0" fontId="1" fillId="16" borderId="25" xfId="0" applyFont="1" applyFill="1" applyBorder="1"/>
    <xf numFmtId="0" fontId="3" fillId="16" borderId="1" xfId="0" applyFont="1" applyFill="1" applyBorder="1" applyAlignment="1">
      <alignment wrapText="1"/>
    </xf>
    <xf numFmtId="0" fontId="3" fillId="16" borderId="1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15"/>
  <sheetViews>
    <sheetView workbookViewId="0">
      <pane ySplit="1" topLeftCell="A2" activePane="bottomLeft" state="frozen"/>
      <selection pane="bottomLeft" activeCell="D15" sqref="D15"/>
    </sheetView>
  </sheetViews>
  <sheetFormatPr baseColWidth="10" defaultColWidth="12.59765625" defaultRowHeight="15" customHeight="1" x14ac:dyDescent="0.25"/>
  <cols>
    <col min="1" max="1" width="10.09765625" customWidth="1"/>
    <col min="2" max="2" width="14.5" customWidth="1"/>
    <col min="3" max="3" width="31.3984375" customWidth="1"/>
    <col min="4" max="4" width="10.59765625" customWidth="1"/>
    <col min="5" max="5" width="13.3984375" customWidth="1"/>
    <col min="6" max="6" width="12.5" customWidth="1"/>
    <col min="7" max="7" width="11.69921875" customWidth="1"/>
    <col min="8" max="8" width="15.09765625" customWidth="1"/>
    <col min="9" max="10" width="13.3984375" customWidth="1"/>
    <col min="11" max="11" width="13.5" customWidth="1"/>
    <col min="12" max="21" width="9.3984375" customWidth="1"/>
  </cols>
  <sheetData>
    <row r="1" spans="1:21" ht="57.6" x14ac:dyDescent="0.3">
      <c r="A1" s="2" t="s">
        <v>0</v>
      </c>
      <c r="B1" s="2" t="s">
        <v>1</v>
      </c>
      <c r="C1" s="2" t="s">
        <v>73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27" t="s">
        <v>8</v>
      </c>
      <c r="K1" s="133" t="s">
        <v>74</v>
      </c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3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34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3.5" customHeight="1" x14ac:dyDescent="0.3">
      <c r="A3" s="47">
        <v>45678</v>
      </c>
      <c r="B3" s="48" t="s">
        <v>9</v>
      </c>
      <c r="C3" s="49" t="s">
        <v>75</v>
      </c>
      <c r="D3" s="49" t="s">
        <v>77</v>
      </c>
      <c r="E3" s="50">
        <v>2000000</v>
      </c>
      <c r="F3" s="50">
        <v>0</v>
      </c>
      <c r="G3" s="51"/>
      <c r="H3" s="51">
        <f t="shared" ref="H3:H4" si="0">E3+F3-G3</f>
        <v>2000000</v>
      </c>
      <c r="I3" s="52">
        <v>0</v>
      </c>
      <c r="J3" s="128">
        <v>2000000</v>
      </c>
      <c r="K3" s="135">
        <f t="shared" ref="K3:K5" si="1">H3+I3-J3</f>
        <v>0</v>
      </c>
      <c r="L3" s="5"/>
      <c r="M3" s="1"/>
      <c r="N3" s="1"/>
      <c r="O3" s="1"/>
      <c r="P3" s="1"/>
      <c r="Q3" s="1"/>
      <c r="R3" s="1"/>
      <c r="S3" s="1"/>
      <c r="T3" s="1"/>
      <c r="U3" s="1"/>
    </row>
    <row r="4" spans="1:21" ht="13.5" customHeight="1" x14ac:dyDescent="0.3">
      <c r="A4" s="47">
        <v>45678</v>
      </c>
      <c r="B4" s="48" t="s">
        <v>12</v>
      </c>
      <c r="C4" s="49" t="s">
        <v>76</v>
      </c>
      <c r="D4" s="49" t="s">
        <v>78</v>
      </c>
      <c r="E4" s="50">
        <v>2000000</v>
      </c>
      <c r="F4" s="51">
        <f t="shared" ref="F4" si="2">E4*19%</f>
        <v>380000</v>
      </c>
      <c r="G4" s="51">
        <f t="shared" ref="G4" si="3">F4*15%</f>
        <v>57000</v>
      </c>
      <c r="H4" s="51">
        <f t="shared" si="0"/>
        <v>2323000</v>
      </c>
      <c r="I4" s="53">
        <v>5561000</v>
      </c>
      <c r="J4" s="129"/>
      <c r="K4" s="135">
        <f t="shared" si="1"/>
        <v>7884000</v>
      </c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3.5" customHeight="1" x14ac:dyDescent="0.3">
      <c r="A5" s="47">
        <v>45678</v>
      </c>
      <c r="B5" s="48" t="s">
        <v>119</v>
      </c>
      <c r="C5" s="49" t="s">
        <v>122</v>
      </c>
      <c r="D5" s="49" t="s">
        <v>78</v>
      </c>
      <c r="E5" s="50">
        <v>2000000</v>
      </c>
      <c r="F5" s="51">
        <f t="shared" ref="F5:F7" si="4">E5*19%</f>
        <v>380000</v>
      </c>
      <c r="G5" s="51">
        <f t="shared" ref="G5:G7" si="5">F5*15%</f>
        <v>57000</v>
      </c>
      <c r="H5" s="51">
        <f t="shared" ref="H5:H7" si="6">E5+F5-G5</f>
        <v>2323000</v>
      </c>
      <c r="I5" s="53">
        <v>5561000</v>
      </c>
      <c r="J5" s="129"/>
      <c r="K5" s="135">
        <f t="shared" ref="K5:K7" si="7">H5+I5-J5</f>
        <v>7884000</v>
      </c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3.5" customHeight="1" x14ac:dyDescent="0.3">
      <c r="A6" s="47">
        <v>45678</v>
      </c>
      <c r="B6" s="48" t="s">
        <v>120</v>
      </c>
      <c r="C6" s="49" t="s">
        <v>123</v>
      </c>
      <c r="D6" s="49" t="s">
        <v>78</v>
      </c>
      <c r="E6" s="50">
        <v>2000000</v>
      </c>
      <c r="F6" s="51">
        <f t="shared" si="4"/>
        <v>380000</v>
      </c>
      <c r="G6" s="51">
        <f t="shared" si="5"/>
        <v>57000</v>
      </c>
      <c r="H6" s="51">
        <f t="shared" si="6"/>
        <v>2323000</v>
      </c>
      <c r="I6" s="53">
        <v>5561000</v>
      </c>
      <c r="J6" s="129"/>
      <c r="K6" s="135">
        <f t="shared" si="7"/>
        <v>7884000</v>
      </c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3.5" customHeight="1" x14ac:dyDescent="0.3">
      <c r="A7" s="47">
        <v>45678</v>
      </c>
      <c r="B7" s="48" t="s">
        <v>121</v>
      </c>
      <c r="C7" s="49" t="s">
        <v>76</v>
      </c>
      <c r="D7" s="49" t="s">
        <v>78</v>
      </c>
      <c r="E7" s="50">
        <v>2000000</v>
      </c>
      <c r="F7" s="51">
        <f t="shared" si="4"/>
        <v>380000</v>
      </c>
      <c r="G7" s="51">
        <f t="shared" si="5"/>
        <v>57000</v>
      </c>
      <c r="H7" s="51">
        <f t="shared" si="6"/>
        <v>2323000</v>
      </c>
      <c r="I7" s="53">
        <v>5561000</v>
      </c>
      <c r="J7" s="129"/>
      <c r="K7" s="135">
        <f t="shared" si="7"/>
        <v>7884000</v>
      </c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3.5" customHeight="1" x14ac:dyDescent="0.3">
      <c r="A8" s="48"/>
      <c r="B8" s="48"/>
      <c r="C8" s="54"/>
      <c r="D8" s="49"/>
      <c r="E8" s="55"/>
      <c r="F8" s="51"/>
      <c r="G8" s="55"/>
      <c r="H8" s="51"/>
      <c r="I8" s="52"/>
      <c r="J8" s="130"/>
      <c r="K8" s="135">
        <f t="shared" ref="K6:K9" si="8">H8+I8-J8</f>
        <v>0</v>
      </c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3.5" customHeight="1" x14ac:dyDescent="0.3">
      <c r="A9" s="47"/>
      <c r="B9" s="48"/>
      <c r="C9" s="54"/>
      <c r="D9" s="48"/>
      <c r="E9" s="56"/>
      <c r="F9" s="50"/>
      <c r="G9" s="55"/>
      <c r="H9" s="51"/>
      <c r="I9" s="53"/>
      <c r="J9" s="130"/>
      <c r="K9" s="135">
        <f t="shared" si="8"/>
        <v>0</v>
      </c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3.5" customHeight="1" thickBot="1" x14ac:dyDescent="0.35">
      <c r="A10" s="91" t="s">
        <v>16</v>
      </c>
      <c r="B10" s="92"/>
      <c r="C10" s="92"/>
      <c r="D10" s="93"/>
      <c r="E10" s="7">
        <f t="shared" ref="E10:K10" si="9">SUM(E3:E9)</f>
        <v>10000000</v>
      </c>
      <c r="F10" s="7">
        <f t="shared" si="9"/>
        <v>1520000</v>
      </c>
      <c r="G10" s="7">
        <f t="shared" si="9"/>
        <v>228000</v>
      </c>
      <c r="H10" s="7">
        <f t="shared" si="9"/>
        <v>11292000</v>
      </c>
      <c r="I10" s="7">
        <f t="shared" si="9"/>
        <v>22244000</v>
      </c>
      <c r="J10" s="131">
        <f t="shared" si="9"/>
        <v>2000000</v>
      </c>
      <c r="K10" s="136">
        <f t="shared" si="9"/>
        <v>31536000</v>
      </c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3.5" customHeight="1" x14ac:dyDescent="0.3">
      <c r="A11" s="1"/>
      <c r="B11" s="1"/>
      <c r="C11" s="1"/>
      <c r="D11" s="1"/>
      <c r="E11" s="5" t="s">
        <v>15</v>
      </c>
      <c r="F11" s="1"/>
      <c r="G11" s="1"/>
      <c r="H11" s="1"/>
      <c r="I11" s="1"/>
      <c r="J11" s="1"/>
      <c r="K11" s="134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3.5" customHeight="1" x14ac:dyDescent="0.3">
      <c r="A12" s="47">
        <v>45707</v>
      </c>
      <c r="B12" s="48" t="s">
        <v>17</v>
      </c>
      <c r="C12" s="49" t="s">
        <v>10</v>
      </c>
      <c r="D12" s="49" t="s">
        <v>11</v>
      </c>
      <c r="E12" s="50">
        <v>2000000</v>
      </c>
      <c r="F12" s="50">
        <v>0</v>
      </c>
      <c r="G12" s="51"/>
      <c r="H12" s="51">
        <f t="shared" ref="H12:H13" si="10">E12+F12-G12</f>
        <v>2000000</v>
      </c>
      <c r="I12" s="53">
        <f>K3</f>
        <v>0</v>
      </c>
      <c r="J12" s="128">
        <v>2000000</v>
      </c>
      <c r="K12" s="135">
        <f t="shared" ref="K12:K15" si="11">H12+I12-J12</f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3.5" customHeight="1" x14ac:dyDescent="0.3">
      <c r="A13" s="47">
        <v>45707</v>
      </c>
      <c r="B13" s="48" t="s">
        <v>18</v>
      </c>
      <c r="C13" s="49" t="s">
        <v>13</v>
      </c>
      <c r="D13" s="49" t="s">
        <v>14</v>
      </c>
      <c r="E13" s="50">
        <v>2000000</v>
      </c>
      <c r="F13" s="51">
        <f>E13*19%</f>
        <v>380000</v>
      </c>
      <c r="G13" s="51">
        <v>0</v>
      </c>
      <c r="H13" s="51">
        <f t="shared" si="10"/>
        <v>2380000</v>
      </c>
      <c r="I13" s="53">
        <f>K4</f>
        <v>7884000</v>
      </c>
      <c r="J13" s="128">
        <f>2323000+2323000</f>
        <v>4646000</v>
      </c>
      <c r="K13" s="135">
        <f t="shared" si="11"/>
        <v>5618000</v>
      </c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3.5" customHeight="1" x14ac:dyDescent="0.3">
      <c r="A14" s="47">
        <v>45707</v>
      </c>
      <c r="B14" s="48" t="s">
        <v>116</v>
      </c>
      <c r="C14" s="49" t="s">
        <v>122</v>
      </c>
      <c r="D14" s="49" t="s">
        <v>14</v>
      </c>
      <c r="E14" s="50">
        <v>2000000</v>
      </c>
      <c r="F14" s="51">
        <f t="shared" ref="F14:F16" si="12">E14*19%</f>
        <v>380000</v>
      </c>
      <c r="G14" s="51">
        <f t="shared" ref="G14:G16" si="13">F14*15%</f>
        <v>57000</v>
      </c>
      <c r="H14" s="51">
        <f t="shared" ref="H14:H16" si="14">E14+F14-G14</f>
        <v>2323000</v>
      </c>
      <c r="I14" s="53">
        <f t="shared" ref="I14:I16" si="15">K5</f>
        <v>7884000</v>
      </c>
      <c r="J14" s="128">
        <v>0</v>
      </c>
      <c r="K14" s="135">
        <f t="shared" ref="K14:K16" si="16">H14+I14-J14</f>
        <v>10207000</v>
      </c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3.5" customHeight="1" x14ac:dyDescent="0.3">
      <c r="A15" s="47">
        <v>45707</v>
      </c>
      <c r="B15" s="48" t="s">
        <v>117</v>
      </c>
      <c r="C15" s="49" t="s">
        <v>123</v>
      </c>
      <c r="D15" s="49" t="s">
        <v>14</v>
      </c>
      <c r="E15" s="50">
        <v>2000000</v>
      </c>
      <c r="F15" s="51">
        <f t="shared" si="12"/>
        <v>380000</v>
      </c>
      <c r="G15" s="51">
        <f t="shared" si="13"/>
        <v>57000</v>
      </c>
      <c r="H15" s="51">
        <f t="shared" si="14"/>
        <v>2323000</v>
      </c>
      <c r="I15" s="53">
        <f t="shared" si="15"/>
        <v>7884000</v>
      </c>
      <c r="J15" s="128">
        <f t="shared" ref="J14:J16" si="17">2323000+2323000</f>
        <v>4646000</v>
      </c>
      <c r="K15" s="135">
        <f t="shared" si="16"/>
        <v>5561000</v>
      </c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3.5" customHeight="1" x14ac:dyDescent="0.3">
      <c r="A16" s="47">
        <v>45707</v>
      </c>
      <c r="B16" s="48" t="s">
        <v>118</v>
      </c>
      <c r="C16" s="49" t="s">
        <v>76</v>
      </c>
      <c r="D16" s="49" t="s">
        <v>14</v>
      </c>
      <c r="E16" s="50">
        <v>2000000</v>
      </c>
      <c r="F16" s="51">
        <f t="shared" si="12"/>
        <v>380000</v>
      </c>
      <c r="G16" s="51">
        <f t="shared" si="13"/>
        <v>57000</v>
      </c>
      <c r="H16" s="51">
        <f t="shared" si="14"/>
        <v>2323000</v>
      </c>
      <c r="I16" s="53">
        <f t="shared" si="15"/>
        <v>7884000</v>
      </c>
      <c r="J16" s="128">
        <f t="shared" si="17"/>
        <v>4646000</v>
      </c>
      <c r="K16" s="135">
        <f t="shared" si="16"/>
        <v>5561000</v>
      </c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3.5" customHeight="1" x14ac:dyDescent="0.3">
      <c r="A17" s="47"/>
      <c r="B17" s="48"/>
      <c r="C17" s="54"/>
      <c r="D17" s="49"/>
      <c r="E17" s="56"/>
      <c r="F17" s="51"/>
      <c r="G17" s="51"/>
      <c r="H17" s="51"/>
      <c r="I17" s="53"/>
      <c r="J17" s="132"/>
      <c r="K17" s="135" t="s">
        <v>15</v>
      </c>
      <c r="L17" s="1"/>
      <c r="M17" s="5" t="s">
        <v>15</v>
      </c>
      <c r="N17" s="1"/>
      <c r="O17" s="1"/>
      <c r="P17" s="1"/>
      <c r="Q17" s="1"/>
      <c r="R17" s="1"/>
      <c r="S17" s="1"/>
      <c r="T17" s="1"/>
      <c r="U17" s="1"/>
    </row>
    <row r="18" spans="1:21" ht="13.5" customHeight="1" x14ac:dyDescent="0.3">
      <c r="A18" s="47"/>
      <c r="B18" s="48"/>
      <c r="C18" s="54"/>
      <c r="D18" s="48"/>
      <c r="E18" s="56"/>
      <c r="F18" s="50"/>
      <c r="G18" s="55"/>
      <c r="H18" s="51"/>
      <c r="I18" s="53"/>
      <c r="J18" s="130"/>
      <c r="K18" s="135">
        <f t="shared" ref="K18" si="18">H18+I18-J18</f>
        <v>0</v>
      </c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3.5" customHeight="1" thickBot="1" x14ac:dyDescent="0.35">
      <c r="A19" s="91" t="s">
        <v>16</v>
      </c>
      <c r="B19" s="94"/>
      <c r="C19" s="94"/>
      <c r="D19" s="95"/>
      <c r="E19" s="7">
        <f t="shared" ref="E19:K19" si="19">SUM(E12:E18)</f>
        <v>10000000</v>
      </c>
      <c r="F19" s="7">
        <f t="shared" si="19"/>
        <v>1520000</v>
      </c>
      <c r="G19" s="7">
        <f t="shared" si="19"/>
        <v>171000</v>
      </c>
      <c r="H19" s="7">
        <f t="shared" si="19"/>
        <v>11349000</v>
      </c>
      <c r="I19" s="7">
        <f t="shared" si="19"/>
        <v>31536000</v>
      </c>
      <c r="J19" s="131">
        <f t="shared" si="19"/>
        <v>15938000</v>
      </c>
      <c r="K19" s="137">
        <f t="shared" si="19"/>
        <v>26947000</v>
      </c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3.5" customHeight="1" x14ac:dyDescent="0.25"/>
    <row r="21" spans="1:21" ht="13.5" customHeight="1" x14ac:dyDescent="0.25"/>
    <row r="22" spans="1:21" ht="13.5" customHeight="1" x14ac:dyDescent="0.25"/>
    <row r="23" spans="1:21" ht="13.5" customHeight="1" x14ac:dyDescent="0.25"/>
    <row r="24" spans="1:21" ht="13.5" customHeight="1" x14ac:dyDescent="0.25"/>
    <row r="25" spans="1:21" ht="13.5" customHeight="1" x14ac:dyDescent="0.25"/>
    <row r="26" spans="1:21" ht="13.5" customHeight="1" x14ac:dyDescent="0.25"/>
    <row r="27" spans="1:21" ht="13.5" customHeight="1" x14ac:dyDescent="0.25"/>
    <row r="28" spans="1:21" ht="13.5" customHeight="1" x14ac:dyDescent="0.25"/>
    <row r="29" spans="1:21" ht="13.5" customHeight="1" x14ac:dyDescent="0.25"/>
    <row r="30" spans="1:21" ht="13.5" customHeight="1" x14ac:dyDescent="0.25"/>
    <row r="31" spans="1:21" ht="13.5" customHeight="1" x14ac:dyDescent="0.25"/>
    <row r="32" spans="1:21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</sheetData>
  <mergeCells count="2">
    <mergeCell ref="A10:D10"/>
    <mergeCell ref="A19:D19"/>
  </mergeCells>
  <phoneticPr fontId="8" type="noConversion"/>
  <pageMargins left="0.7" right="0.7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05"/>
  <sheetViews>
    <sheetView workbookViewId="0">
      <pane ySplit="1" topLeftCell="A2" activePane="bottomLeft" state="frozen"/>
      <selection pane="bottomLeft" activeCell="D21" sqref="D21"/>
    </sheetView>
  </sheetViews>
  <sheetFormatPr baseColWidth="10" defaultColWidth="12.59765625" defaultRowHeight="15" customHeight="1" x14ac:dyDescent="0.25"/>
  <cols>
    <col min="1" max="2" width="11.59765625" customWidth="1"/>
    <col min="3" max="3" width="27.19921875" customWidth="1"/>
    <col min="4" max="4" width="25.69921875" customWidth="1"/>
    <col min="5" max="5" width="12.59765625" customWidth="1"/>
    <col min="6" max="8" width="14.19921875" customWidth="1"/>
    <col min="10" max="10" width="19.5" customWidth="1"/>
    <col min="11" max="11" width="11.69921875" bestFit="1" customWidth="1"/>
    <col min="12" max="12" width="15.5" customWidth="1"/>
    <col min="13" max="26" width="9.3984375" customWidth="1"/>
  </cols>
  <sheetData>
    <row r="1" spans="1:26" ht="43.2" x14ac:dyDescent="0.3">
      <c r="A1" s="41" t="s">
        <v>79</v>
      </c>
      <c r="B1" s="39" t="s">
        <v>80</v>
      </c>
      <c r="C1" s="40" t="s">
        <v>81</v>
      </c>
      <c r="D1" s="8" t="s">
        <v>2</v>
      </c>
      <c r="E1" s="8" t="s">
        <v>19</v>
      </c>
      <c r="F1" s="8" t="s">
        <v>20</v>
      </c>
      <c r="G1" s="8" t="s">
        <v>21</v>
      </c>
      <c r="H1" s="8" t="s">
        <v>22</v>
      </c>
      <c r="I1" s="8" t="s">
        <v>23</v>
      </c>
      <c r="J1" s="8" t="s">
        <v>82</v>
      </c>
      <c r="K1" s="3"/>
      <c r="L1" s="42" t="s">
        <v>83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">
      <c r="A2" s="1"/>
      <c r="B2" s="1"/>
      <c r="C2" s="9"/>
      <c r="D2" s="9"/>
      <c r="E2" s="10"/>
      <c r="F2" s="10"/>
      <c r="G2" s="10"/>
      <c r="H2" s="10"/>
      <c r="I2" s="1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">
      <c r="A3" s="58" t="s">
        <v>15</v>
      </c>
      <c r="B3" s="58"/>
      <c r="C3" s="59" t="s">
        <v>24</v>
      </c>
      <c r="D3" s="59" t="s">
        <v>84</v>
      </c>
      <c r="E3" s="60">
        <v>1510000</v>
      </c>
      <c r="F3" s="61"/>
      <c r="G3" s="61">
        <f t="shared" ref="G3:G9" si="0">E3+F3</f>
        <v>1510000</v>
      </c>
      <c r="H3" s="61">
        <v>679000</v>
      </c>
      <c r="I3" s="140">
        <f>679000+679000+76000+755000</f>
        <v>2189000</v>
      </c>
      <c r="J3" s="140">
        <f t="shared" ref="J3:J9" si="1">+G3+H3-I3</f>
        <v>0</v>
      </c>
      <c r="K3" s="43">
        <f>+J3</f>
        <v>0</v>
      </c>
      <c r="L3" s="96" t="s">
        <v>85</v>
      </c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1"/>
      <c r="Y3" s="1"/>
      <c r="Z3" s="1"/>
    </row>
    <row r="4" spans="1:26" ht="14.25" customHeight="1" x14ac:dyDescent="0.3">
      <c r="A4" s="62"/>
      <c r="B4" s="62"/>
      <c r="C4" s="63" t="s">
        <v>25</v>
      </c>
      <c r="D4" s="59" t="s">
        <v>84</v>
      </c>
      <c r="E4" s="60">
        <v>1423500</v>
      </c>
      <c r="F4" s="61"/>
      <c r="G4" s="61">
        <f t="shared" si="0"/>
        <v>1423500</v>
      </c>
      <c r="H4" s="61"/>
      <c r="I4" s="140">
        <v>522000</v>
      </c>
      <c r="J4" s="140">
        <f t="shared" si="1"/>
        <v>901500</v>
      </c>
      <c r="K4" s="43">
        <v>0</v>
      </c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1"/>
      <c r="Y4" s="1"/>
      <c r="Z4" s="1"/>
    </row>
    <row r="5" spans="1:26" ht="14.25" customHeight="1" x14ac:dyDescent="0.3">
      <c r="A5" s="65"/>
      <c r="B5" s="65"/>
      <c r="C5" s="66" t="s">
        <v>26</v>
      </c>
      <c r="D5" s="66" t="s">
        <v>26</v>
      </c>
      <c r="E5" s="67">
        <v>318800</v>
      </c>
      <c r="F5" s="68"/>
      <c r="G5" s="68">
        <f t="shared" si="0"/>
        <v>318800</v>
      </c>
      <c r="H5" s="68">
        <v>0</v>
      </c>
      <c r="I5" s="67">
        <v>318800</v>
      </c>
      <c r="J5" s="67">
        <f t="shared" si="1"/>
        <v>0</v>
      </c>
      <c r="K5" s="43">
        <f t="shared" ref="K5:K11" si="2">+J5</f>
        <v>0</v>
      </c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1"/>
      <c r="Y5" s="1"/>
      <c r="Z5" s="1"/>
    </row>
    <row r="6" spans="1:26" ht="14.25" customHeight="1" x14ac:dyDescent="0.3">
      <c r="A6" s="65"/>
      <c r="B6" s="65"/>
      <c r="C6" s="69" t="s">
        <v>27</v>
      </c>
      <c r="D6" s="70" t="s">
        <v>28</v>
      </c>
      <c r="E6" s="68">
        <v>175400</v>
      </c>
      <c r="F6" s="68"/>
      <c r="G6" s="68">
        <f t="shared" si="0"/>
        <v>175400</v>
      </c>
      <c r="H6" s="68">
        <v>0</v>
      </c>
      <c r="I6" s="67">
        <v>175400</v>
      </c>
      <c r="J6" s="67">
        <f t="shared" si="1"/>
        <v>0</v>
      </c>
      <c r="K6" s="43">
        <f t="shared" si="2"/>
        <v>0</v>
      </c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1"/>
      <c r="Y6" s="1"/>
      <c r="Z6" s="1"/>
    </row>
    <row r="7" spans="1:26" ht="14.25" customHeight="1" x14ac:dyDescent="0.3">
      <c r="A7" s="82"/>
      <c r="B7" s="82"/>
      <c r="C7" s="83" t="s">
        <v>29</v>
      </c>
      <c r="D7" s="84" t="s">
        <v>30</v>
      </c>
      <c r="E7" s="85">
        <v>3065500</v>
      </c>
      <c r="F7" s="86"/>
      <c r="G7" s="86">
        <f t="shared" si="0"/>
        <v>3065500</v>
      </c>
      <c r="H7" s="86">
        <v>3235500</v>
      </c>
      <c r="I7" s="85">
        <f>235000+3000000+61000</f>
        <v>3296000</v>
      </c>
      <c r="J7" s="86">
        <f t="shared" si="1"/>
        <v>3005000</v>
      </c>
      <c r="K7" s="43">
        <f>+J7/2</f>
        <v>1502500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s="82"/>
      <c r="B8" s="82"/>
      <c r="C8" s="83" t="s">
        <v>31</v>
      </c>
      <c r="D8" s="84" t="s">
        <v>32</v>
      </c>
      <c r="E8" s="86"/>
      <c r="F8" s="86"/>
      <c r="G8" s="86">
        <f t="shared" si="0"/>
        <v>0</v>
      </c>
      <c r="H8" s="86">
        <v>0</v>
      </c>
      <c r="I8" s="86"/>
      <c r="J8" s="86">
        <f t="shared" si="1"/>
        <v>0</v>
      </c>
      <c r="K8" s="43">
        <f t="shared" si="2"/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s="74"/>
      <c r="B9" s="74"/>
      <c r="C9" s="75" t="s">
        <v>33</v>
      </c>
      <c r="D9" s="76" t="s">
        <v>34</v>
      </c>
      <c r="E9" s="77">
        <v>950000</v>
      </c>
      <c r="F9" s="78"/>
      <c r="G9" s="78">
        <f t="shared" si="0"/>
        <v>950000</v>
      </c>
      <c r="H9" s="78">
        <v>0</v>
      </c>
      <c r="I9" s="78"/>
      <c r="J9" s="78">
        <f t="shared" si="1"/>
        <v>950000</v>
      </c>
      <c r="K9" s="43">
        <f t="shared" si="2"/>
        <v>950000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s="143"/>
      <c r="B10" s="143"/>
      <c r="C10" s="144" t="s">
        <v>122</v>
      </c>
      <c r="D10" s="145" t="s">
        <v>47</v>
      </c>
      <c r="E10" s="77">
        <v>5000000</v>
      </c>
      <c r="F10" s="78"/>
      <c r="G10" s="78">
        <f t="shared" ref="G10" si="3">E10+F10</f>
        <v>5000000</v>
      </c>
      <c r="H10" s="78">
        <v>0</v>
      </c>
      <c r="I10" s="78"/>
      <c r="J10" s="78">
        <f t="shared" ref="J10" si="4">+G10+H10-I10</f>
        <v>5000000</v>
      </c>
      <c r="K10" s="4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s="38"/>
      <c r="B11" s="38"/>
      <c r="C11" s="97"/>
      <c r="D11" s="98"/>
      <c r="E11" s="4">
        <f t="shared" ref="E11:J11" si="5">SUM(E3:E9)</f>
        <v>7443200</v>
      </c>
      <c r="F11" s="4">
        <f t="shared" si="5"/>
        <v>0</v>
      </c>
      <c r="G11" s="4">
        <f t="shared" si="5"/>
        <v>7443200</v>
      </c>
      <c r="H11" s="4">
        <f t="shared" si="5"/>
        <v>3914500</v>
      </c>
      <c r="I11" s="4">
        <f t="shared" si="5"/>
        <v>6501200</v>
      </c>
      <c r="J11" s="138">
        <f t="shared" si="5"/>
        <v>4856500</v>
      </c>
      <c r="K11" s="43">
        <f t="shared" si="2"/>
        <v>4856500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">
      <c r="A12" s="1"/>
      <c r="B12" s="1"/>
      <c r="C12" s="1"/>
      <c r="D12" s="9"/>
      <c r="E12" s="9"/>
      <c r="F12" s="1"/>
      <c r="G12" s="1"/>
      <c r="H12" s="11"/>
      <c r="I12" s="12"/>
      <c r="J12" s="139"/>
      <c r="K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">
      <c r="A13" s="1"/>
      <c r="B13" s="1"/>
      <c r="C13" s="1"/>
      <c r="D13" s="9"/>
      <c r="E13" s="9"/>
      <c r="F13" s="1"/>
      <c r="G13" s="1"/>
      <c r="H13" s="11"/>
      <c r="I13" s="12"/>
      <c r="J13" s="139"/>
      <c r="K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">
      <c r="A14" s="58"/>
      <c r="B14" s="58"/>
      <c r="C14" s="59" t="s">
        <v>24</v>
      </c>
      <c r="D14" s="59" t="s">
        <v>84</v>
      </c>
      <c r="E14" s="60">
        <v>1510000</v>
      </c>
      <c r="F14" s="61"/>
      <c r="G14" s="61">
        <f t="shared" ref="G14:G20" si="6">E14+F14</f>
        <v>1510000</v>
      </c>
      <c r="H14" s="60">
        <v>0</v>
      </c>
      <c r="I14" s="60">
        <v>755000</v>
      </c>
      <c r="J14" s="60">
        <f t="shared" ref="J14:J20" si="7">+G14+H14-I14</f>
        <v>755000</v>
      </c>
      <c r="K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">
      <c r="A15" s="62"/>
      <c r="B15" s="62"/>
      <c r="C15" s="63" t="s">
        <v>25</v>
      </c>
      <c r="D15" s="59" t="s">
        <v>84</v>
      </c>
      <c r="E15" s="60">
        <v>1424000</v>
      </c>
      <c r="F15" s="61"/>
      <c r="G15" s="61">
        <f t="shared" si="6"/>
        <v>1424000</v>
      </c>
      <c r="H15" s="61">
        <f>+J4</f>
        <v>901500</v>
      </c>
      <c r="I15" s="60">
        <v>712000</v>
      </c>
      <c r="J15" s="60">
        <f t="shared" si="7"/>
        <v>1613500</v>
      </c>
      <c r="K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">
      <c r="A16" s="65"/>
      <c r="B16" s="65"/>
      <c r="C16" s="66" t="s">
        <v>26</v>
      </c>
      <c r="D16" s="66" t="s">
        <v>26</v>
      </c>
      <c r="E16" s="67">
        <v>356800</v>
      </c>
      <c r="F16" s="68"/>
      <c r="G16" s="68">
        <f t="shared" si="6"/>
        <v>356800</v>
      </c>
      <c r="H16" s="68">
        <v>0</v>
      </c>
      <c r="I16" s="67">
        <v>356800</v>
      </c>
      <c r="J16" s="67">
        <f t="shared" si="7"/>
        <v>0</v>
      </c>
      <c r="K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">
      <c r="A17" s="65"/>
      <c r="B17" s="65"/>
      <c r="C17" s="69" t="s">
        <v>27</v>
      </c>
      <c r="D17" s="70" t="s">
        <v>28</v>
      </c>
      <c r="E17" s="68"/>
      <c r="F17" s="68"/>
      <c r="G17" s="68">
        <f t="shared" si="6"/>
        <v>0</v>
      </c>
      <c r="H17" s="68">
        <v>100000</v>
      </c>
      <c r="I17" s="67"/>
      <c r="J17" s="67">
        <f t="shared" si="7"/>
        <v>100000</v>
      </c>
      <c r="K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">
      <c r="A18" s="82"/>
      <c r="B18" s="82"/>
      <c r="C18" s="83" t="s">
        <v>29</v>
      </c>
      <c r="D18" s="84" t="s">
        <v>30</v>
      </c>
      <c r="E18" s="85">
        <v>3322000</v>
      </c>
      <c r="F18" s="86"/>
      <c r="G18" s="86">
        <f t="shared" si="6"/>
        <v>3322000</v>
      </c>
      <c r="H18" s="86">
        <f>J7</f>
        <v>3005000</v>
      </c>
      <c r="I18" s="85">
        <f>2000000+1005000</f>
        <v>3005000</v>
      </c>
      <c r="J18" s="85">
        <f t="shared" si="7"/>
        <v>3322000</v>
      </c>
      <c r="K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">
      <c r="A19" s="82"/>
      <c r="B19" s="82"/>
      <c r="C19" s="83" t="s">
        <v>31</v>
      </c>
      <c r="D19" s="84" t="s">
        <v>32</v>
      </c>
      <c r="E19" s="86"/>
      <c r="F19" s="86"/>
      <c r="G19" s="86">
        <f t="shared" si="6"/>
        <v>0</v>
      </c>
      <c r="H19" s="86">
        <f>J8</f>
        <v>0</v>
      </c>
      <c r="I19" s="86"/>
      <c r="J19" s="85">
        <f t="shared" si="7"/>
        <v>0</v>
      </c>
      <c r="K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">
      <c r="A20" s="74"/>
      <c r="B20" s="74"/>
      <c r="C20" s="75" t="s">
        <v>33</v>
      </c>
      <c r="D20" s="76" t="s">
        <v>34</v>
      </c>
      <c r="E20" s="77">
        <v>950000</v>
      </c>
      <c r="F20" s="78"/>
      <c r="G20" s="78">
        <f t="shared" si="6"/>
        <v>950000</v>
      </c>
      <c r="H20" s="78">
        <f>J9</f>
        <v>950000</v>
      </c>
      <c r="I20" s="78"/>
      <c r="J20" s="78">
        <f t="shared" si="7"/>
        <v>1900000</v>
      </c>
      <c r="K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">
      <c r="A21" s="143"/>
      <c r="B21" s="143"/>
      <c r="C21" s="144" t="s">
        <v>122</v>
      </c>
      <c r="D21" s="145" t="s">
        <v>47</v>
      </c>
      <c r="E21" s="77">
        <v>5000000</v>
      </c>
      <c r="F21" s="78"/>
      <c r="G21" s="78">
        <f t="shared" ref="G21" si="8">E21+F21</f>
        <v>5000000</v>
      </c>
      <c r="H21" s="78">
        <f>J10</f>
        <v>5000000</v>
      </c>
      <c r="I21" s="78">
        <v>5000000</v>
      </c>
      <c r="J21" s="78">
        <f t="shared" ref="J21" si="9">+G21+H21-I21</f>
        <v>5000000</v>
      </c>
      <c r="K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">
      <c r="A22" s="38"/>
      <c r="B22" s="38"/>
      <c r="C22" s="97"/>
      <c r="D22" s="98"/>
      <c r="E22" s="4">
        <f>SUM(E14:E20)</f>
        <v>7562800</v>
      </c>
      <c r="F22" s="4">
        <f>SUM(F14:F20)</f>
        <v>0</v>
      </c>
      <c r="G22" s="4">
        <f>SUM(G14:G20)</f>
        <v>7562800</v>
      </c>
      <c r="H22" s="4">
        <f>SUM(H14:H20)</f>
        <v>4956500</v>
      </c>
      <c r="I22" s="4">
        <f>SUM(I14:I20)</f>
        <v>4828800</v>
      </c>
      <c r="J22" s="4">
        <f>SUM(J14:J20)</f>
        <v>7690500</v>
      </c>
      <c r="K22" s="13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A23" s="1"/>
      <c r="B23" s="1"/>
      <c r="C23" s="1"/>
      <c r="D23" s="9"/>
      <c r="E23" s="9"/>
      <c r="F23" s="1"/>
      <c r="G23" s="1"/>
      <c r="H23" s="11"/>
      <c r="I23" s="12"/>
      <c r="J23" s="1"/>
      <c r="K23" s="13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/>
    <row r="25" spans="1:26" ht="15.75" customHeight="1" x14ac:dyDescent="0.25"/>
    <row r="26" spans="1:26" ht="15.75" customHeight="1" x14ac:dyDescent="0.25"/>
    <row r="27" spans="1:26" ht="15.75" customHeight="1" x14ac:dyDescent="0.25"/>
    <row r="28" spans="1:26" ht="15.75" customHeight="1" x14ac:dyDescent="0.25"/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</sheetData>
  <mergeCells count="3">
    <mergeCell ref="L3:W6"/>
    <mergeCell ref="C11:D11"/>
    <mergeCell ref="C22:D22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968"/>
  <sheetViews>
    <sheetView tabSelected="1" workbookViewId="0">
      <selection activeCell="F15" sqref="F15"/>
    </sheetView>
  </sheetViews>
  <sheetFormatPr baseColWidth="10" defaultColWidth="12.59765625" defaultRowHeight="15" customHeight="1" x14ac:dyDescent="0.25"/>
  <cols>
    <col min="1" max="6" width="12.59765625" customWidth="1"/>
  </cols>
  <sheetData>
    <row r="1" spans="1:14" ht="13.8" x14ac:dyDescent="0.25">
      <c r="A1" s="15" t="s">
        <v>15</v>
      </c>
    </row>
    <row r="2" spans="1:14" ht="15" customHeight="1" x14ac:dyDescent="0.3">
      <c r="B2" s="121" t="s">
        <v>36</v>
      </c>
      <c r="C2" s="100"/>
      <c r="D2" s="100"/>
      <c r="E2" s="100"/>
      <c r="F2" s="100"/>
    </row>
    <row r="3" spans="1:14" ht="15" customHeight="1" x14ac:dyDescent="0.3">
      <c r="B3" s="122"/>
      <c r="C3" s="100"/>
      <c r="D3" s="98"/>
      <c r="E3" s="16" t="s">
        <v>37</v>
      </c>
      <c r="F3" s="17" t="s">
        <v>38</v>
      </c>
      <c r="H3" t="s">
        <v>86</v>
      </c>
    </row>
    <row r="4" spans="1:14" ht="15" customHeight="1" x14ac:dyDescent="0.3">
      <c r="B4" s="123" t="s">
        <v>39</v>
      </c>
      <c r="C4" s="100"/>
      <c r="D4" s="98"/>
      <c r="E4" s="18">
        <f t="shared" ref="E4:F4" si="0">SUM(E5:E6)-E7</f>
        <v>10000000</v>
      </c>
      <c r="F4" s="18">
        <f t="shared" si="0"/>
        <v>10000000</v>
      </c>
    </row>
    <row r="5" spans="1:14" ht="15" customHeight="1" x14ac:dyDescent="0.3">
      <c r="B5" s="112" t="s">
        <v>40</v>
      </c>
      <c r="C5" s="113"/>
      <c r="D5" s="114"/>
      <c r="E5" s="44">
        <f>'CXC(CARTERA)'!E10</f>
        <v>10000000</v>
      </c>
      <c r="F5" s="44">
        <f>'CXC(CARTERA)'!E19-F6</f>
        <v>7595000</v>
      </c>
    </row>
    <row r="6" spans="1:14" ht="15" customHeight="1" x14ac:dyDescent="0.3">
      <c r="B6" s="112" t="s">
        <v>41</v>
      </c>
      <c r="C6" s="113"/>
      <c r="D6" s="114"/>
      <c r="E6" s="45"/>
      <c r="F6" s="46">
        <f>'CXC(CARTERA)'!E14+405000</f>
        <v>2405000</v>
      </c>
    </row>
    <row r="7" spans="1:14" ht="15" customHeight="1" x14ac:dyDescent="0.3">
      <c r="B7" s="112" t="s">
        <v>42</v>
      </c>
      <c r="C7" s="113"/>
      <c r="D7" s="114"/>
      <c r="E7" s="45"/>
      <c r="F7" s="45"/>
    </row>
    <row r="8" spans="1:14" ht="15" customHeight="1" x14ac:dyDescent="0.3">
      <c r="B8" s="101"/>
      <c r="C8" s="100"/>
      <c r="D8" s="98"/>
      <c r="E8" s="19"/>
      <c r="F8" s="19"/>
    </row>
    <row r="9" spans="1:14" ht="15" customHeight="1" x14ac:dyDescent="0.3">
      <c r="B9" s="99" t="s">
        <v>43</v>
      </c>
      <c r="C9" s="100"/>
      <c r="D9" s="98"/>
      <c r="E9" s="18">
        <f t="shared" ref="E9:F9" si="1">SUM(E10:E11)</f>
        <v>5999000</v>
      </c>
      <c r="F9" s="18">
        <f t="shared" si="1"/>
        <v>6256000</v>
      </c>
    </row>
    <row r="10" spans="1:14" ht="15" customHeight="1" x14ac:dyDescent="0.3">
      <c r="B10" s="115" t="s">
        <v>44</v>
      </c>
      <c r="C10" s="116"/>
      <c r="D10" s="117"/>
      <c r="E10" s="57">
        <f>+'CXP (EGRESOS)'!E3+'CXP (EGRESOS)'!E4</f>
        <v>2933500</v>
      </c>
      <c r="F10" s="57">
        <f>+'CXP (EGRESOS)'!E14+'CXP (EGRESOS)'!E15</f>
        <v>2934000</v>
      </c>
    </row>
    <row r="11" spans="1:14" ht="15" customHeight="1" x14ac:dyDescent="0.3">
      <c r="B11" s="118" t="s">
        <v>45</v>
      </c>
      <c r="C11" s="119"/>
      <c r="D11" s="120"/>
      <c r="E11" s="81">
        <f>+'CXP (EGRESOS)'!E7+'CXP (EGRESOS)'!E8</f>
        <v>3065500</v>
      </c>
      <c r="F11" s="81">
        <f>+'CXP (EGRESOS)'!E18+'CXP (EGRESOS)'!E19</f>
        <v>3322000</v>
      </c>
    </row>
    <row r="12" spans="1:14" ht="15" customHeight="1" x14ac:dyDescent="0.3">
      <c r="B12" s="101"/>
      <c r="C12" s="100"/>
      <c r="D12" s="98"/>
    </row>
    <row r="13" spans="1:14" ht="15" customHeight="1" x14ac:dyDescent="0.3">
      <c r="B13" s="99" t="s">
        <v>35</v>
      </c>
      <c r="C13" s="100"/>
      <c r="D13" s="98"/>
      <c r="E13" s="18">
        <f t="shared" ref="E13:F13" si="2">E4-E9</f>
        <v>4001000</v>
      </c>
      <c r="F13" s="18">
        <f t="shared" si="2"/>
        <v>3744000</v>
      </c>
    </row>
    <row r="14" spans="1:14" ht="14.4" x14ac:dyDescent="0.3">
      <c r="B14" s="101"/>
      <c r="C14" s="100"/>
      <c r="D14" s="98"/>
    </row>
    <row r="15" spans="1:14" ht="14.4" x14ac:dyDescent="0.3">
      <c r="B15" s="99" t="s">
        <v>46</v>
      </c>
      <c r="C15" s="100"/>
      <c r="D15" s="98"/>
      <c r="E15" s="18">
        <f>SUM(E16:E18)</f>
        <v>6268800</v>
      </c>
      <c r="F15" s="18">
        <f>SUM(F16:F18)</f>
        <v>6306800</v>
      </c>
    </row>
    <row r="16" spans="1:14" ht="15" customHeight="1" x14ac:dyDescent="0.3">
      <c r="A16" s="20"/>
      <c r="B16" s="106" t="s">
        <v>47</v>
      </c>
      <c r="C16" s="107"/>
      <c r="D16" s="108"/>
      <c r="E16" s="72">
        <f>+'CXP (EGRESOS)'!E10</f>
        <v>5000000</v>
      </c>
      <c r="F16" s="72">
        <f>+'CXP (EGRESOS)'!E21</f>
        <v>5000000</v>
      </c>
      <c r="G16" s="20"/>
      <c r="H16" s="20"/>
      <c r="I16" s="20"/>
      <c r="J16" s="20"/>
      <c r="K16" s="20"/>
      <c r="L16" s="20"/>
      <c r="M16" s="20"/>
      <c r="N16" s="20"/>
    </row>
    <row r="17" spans="2:7" ht="15" customHeight="1" x14ac:dyDescent="0.3">
      <c r="B17" s="106" t="s">
        <v>34</v>
      </c>
      <c r="C17" s="141"/>
      <c r="D17" s="142"/>
      <c r="E17" s="73">
        <f>+'CXP (EGRESOS)'!E9</f>
        <v>950000</v>
      </c>
      <c r="F17" s="73">
        <f>+'CXP (EGRESOS)'!E20</f>
        <v>950000</v>
      </c>
    </row>
    <row r="18" spans="2:7" ht="15" customHeight="1" x14ac:dyDescent="0.3">
      <c r="B18" s="109" t="s">
        <v>26</v>
      </c>
      <c r="C18" s="110"/>
      <c r="D18" s="111"/>
      <c r="E18" s="64">
        <f>+'CXP (EGRESOS)'!E5</f>
        <v>318800</v>
      </c>
      <c r="F18" s="64">
        <f>+'CXP (EGRESOS)'!E16</f>
        <v>356800</v>
      </c>
    </row>
    <row r="19" spans="2:7" ht="15" customHeight="1" x14ac:dyDescent="0.3">
      <c r="B19" s="109" t="s">
        <v>87</v>
      </c>
      <c r="C19" s="110"/>
      <c r="D19" s="111" t="s">
        <v>15</v>
      </c>
      <c r="E19" s="71">
        <f>+'CXP (EGRESOS)'!E6</f>
        <v>175400</v>
      </c>
      <c r="F19" s="71">
        <f>+'CXP (EGRESOS)'!E17</f>
        <v>0</v>
      </c>
    </row>
    <row r="20" spans="2:7" ht="15" customHeight="1" x14ac:dyDescent="0.3">
      <c r="B20" s="101"/>
      <c r="C20" s="100"/>
      <c r="D20" s="98"/>
      <c r="E20" s="19"/>
      <c r="F20" s="19"/>
    </row>
    <row r="21" spans="2:7" ht="14.4" x14ac:dyDescent="0.3">
      <c r="B21" s="99" t="s">
        <v>48</v>
      </c>
      <c r="C21" s="100"/>
      <c r="D21" s="98"/>
      <c r="E21" s="18">
        <f>E13-E15</f>
        <v>-2267800</v>
      </c>
      <c r="F21" s="18">
        <f>F13-F15</f>
        <v>-2562800</v>
      </c>
    </row>
    <row r="22" spans="2:7" ht="15" customHeight="1" x14ac:dyDescent="0.3">
      <c r="B22" s="101"/>
      <c r="C22" s="100"/>
      <c r="D22" s="98"/>
      <c r="E22" s="19"/>
      <c r="F22" s="19"/>
    </row>
    <row r="23" spans="2:7" ht="15" customHeight="1" x14ac:dyDescent="0.3">
      <c r="B23" s="99" t="s">
        <v>49</v>
      </c>
      <c r="C23" s="100"/>
      <c r="D23" s="98"/>
      <c r="E23" s="21">
        <f t="shared" ref="E23:F23" si="3">SUM(E24:E25)</f>
        <v>0</v>
      </c>
      <c r="F23" s="21">
        <f t="shared" si="3"/>
        <v>0</v>
      </c>
    </row>
    <row r="24" spans="2:7" ht="15" customHeight="1" x14ac:dyDescent="0.3">
      <c r="B24" s="102" t="s">
        <v>50</v>
      </c>
      <c r="C24" s="103"/>
      <c r="D24" s="104"/>
      <c r="E24" s="79">
        <v>0</v>
      </c>
      <c r="F24" s="79">
        <v>0</v>
      </c>
      <c r="G24" t="s">
        <v>124</v>
      </c>
    </row>
    <row r="25" spans="2:7" ht="15" customHeight="1" x14ac:dyDescent="0.3">
      <c r="B25" s="105" t="s">
        <v>51</v>
      </c>
      <c r="C25" s="103"/>
      <c r="D25" s="104"/>
      <c r="E25" s="80"/>
      <c r="F25" s="80"/>
      <c r="G25" t="s">
        <v>124</v>
      </c>
    </row>
    <row r="26" spans="2:7" ht="15" customHeight="1" x14ac:dyDescent="0.3">
      <c r="B26" s="101"/>
      <c r="C26" s="100"/>
      <c r="D26" s="98"/>
      <c r="E26" s="19"/>
      <c r="F26" s="19"/>
    </row>
    <row r="27" spans="2:7" ht="15" customHeight="1" x14ac:dyDescent="0.3">
      <c r="B27" s="99" t="s">
        <v>52</v>
      </c>
      <c r="C27" s="100"/>
      <c r="D27" s="98"/>
      <c r="E27" s="21">
        <f t="shared" ref="E27:F27" si="4">E21-E23</f>
        <v>-2267800</v>
      </c>
      <c r="F27" s="21">
        <f t="shared" si="4"/>
        <v>-2562800</v>
      </c>
    </row>
    <row r="28" spans="2:7" ht="15" customHeight="1" x14ac:dyDescent="0.3">
      <c r="B28" s="101"/>
      <c r="C28" s="100"/>
      <c r="D28" s="98"/>
      <c r="E28" s="19"/>
      <c r="F28" s="19"/>
    </row>
    <row r="29" spans="2:7" ht="15" customHeight="1" x14ac:dyDescent="0.3">
      <c r="B29" s="101"/>
      <c r="C29" s="100"/>
      <c r="D29" s="98"/>
      <c r="E29" s="19"/>
      <c r="F29" s="19"/>
    </row>
    <row r="30" spans="2:7" ht="15" customHeight="1" x14ac:dyDescent="0.3">
      <c r="B30" s="99" t="s">
        <v>125</v>
      </c>
      <c r="C30" s="100"/>
      <c r="D30" s="98"/>
      <c r="E30" s="22"/>
      <c r="F30" s="22"/>
      <c r="G30" t="s">
        <v>124</v>
      </c>
    </row>
    <row r="31" spans="2:7" ht="15" customHeight="1" x14ac:dyDescent="0.3">
      <c r="B31" s="101"/>
      <c r="C31" s="100"/>
      <c r="D31" s="98"/>
      <c r="E31" s="19"/>
      <c r="F31" s="19"/>
    </row>
    <row r="32" spans="2:7" ht="15" customHeight="1" x14ac:dyDescent="0.3">
      <c r="B32" s="99" t="s">
        <v>53</v>
      </c>
      <c r="C32" s="100"/>
      <c r="D32" s="98"/>
      <c r="E32" s="21">
        <f t="shared" ref="E32:F32" si="5">E27-E30</f>
        <v>-2267800</v>
      </c>
      <c r="F32" s="21">
        <f t="shared" si="5"/>
        <v>-2562800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</sheetData>
  <mergeCells count="31">
    <mergeCell ref="B2:F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20:D20"/>
    <mergeCell ref="B21:D21"/>
    <mergeCell ref="B22:D22"/>
    <mergeCell ref="B19:D19"/>
    <mergeCell ref="B23:D23"/>
    <mergeCell ref="B31:D31"/>
    <mergeCell ref="B32:D32"/>
    <mergeCell ref="B24:D24"/>
    <mergeCell ref="B25:D25"/>
    <mergeCell ref="B26:D26"/>
    <mergeCell ref="B27:D27"/>
    <mergeCell ref="B28:D28"/>
    <mergeCell ref="B29:D29"/>
    <mergeCell ref="B30:D30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0"/>
  <sheetViews>
    <sheetView workbookViewId="0">
      <selection activeCell="K8" sqref="K8"/>
    </sheetView>
  </sheetViews>
  <sheetFormatPr baseColWidth="10" defaultColWidth="12.59765625" defaultRowHeight="15" customHeight="1" x14ac:dyDescent="0.25"/>
  <cols>
    <col min="1" max="1" width="2.5" customWidth="1"/>
    <col min="2" max="2" width="37.59765625" customWidth="1"/>
    <col min="3" max="4" width="12.5" hidden="1" customWidth="1"/>
    <col min="5" max="5" width="9.59765625" hidden="1" customWidth="1"/>
    <col min="6" max="7" width="12.69921875" customWidth="1"/>
    <col min="8" max="8" width="9.3984375" customWidth="1"/>
  </cols>
  <sheetData>
    <row r="1" spans="1:13" ht="14.25" customHeight="1" x14ac:dyDescent="0.3">
      <c r="A1" s="1"/>
      <c r="B1" s="1"/>
      <c r="C1" s="1"/>
      <c r="D1" s="1"/>
      <c r="E1" s="1"/>
      <c r="F1" s="1"/>
      <c r="G1" s="1"/>
      <c r="H1" s="1"/>
    </row>
    <row r="2" spans="1:13" ht="14.25" customHeight="1" x14ac:dyDescent="0.3">
      <c r="A2" s="1"/>
      <c r="B2" s="124" t="s">
        <v>54</v>
      </c>
      <c r="C2" s="100"/>
      <c r="D2" s="100"/>
      <c r="E2" s="100"/>
      <c r="F2" s="100"/>
      <c r="G2" s="100"/>
      <c r="H2" s="98"/>
    </row>
    <row r="3" spans="1:13" ht="28.8" x14ac:dyDescent="0.3">
      <c r="A3" s="3"/>
      <c r="B3" s="23"/>
      <c r="C3" s="23" t="s">
        <v>55</v>
      </c>
      <c r="D3" s="23" t="s">
        <v>56</v>
      </c>
      <c r="E3" s="23" t="s">
        <v>57</v>
      </c>
      <c r="F3" s="23" t="s">
        <v>58</v>
      </c>
      <c r="G3" s="23" t="s">
        <v>59</v>
      </c>
      <c r="H3" s="23" t="s">
        <v>57</v>
      </c>
    </row>
    <row r="4" spans="1:13" ht="14.25" customHeight="1" x14ac:dyDescent="0.3">
      <c r="A4" s="1"/>
      <c r="B4" s="6"/>
      <c r="C4" s="6"/>
      <c r="D4" s="6"/>
      <c r="E4" s="6"/>
      <c r="F4" s="6"/>
      <c r="G4" s="6"/>
      <c r="H4" s="6"/>
    </row>
    <row r="5" spans="1:13" ht="14.25" customHeight="1" x14ac:dyDescent="0.3">
      <c r="A5" s="1"/>
      <c r="B5" s="24" t="s">
        <v>60</v>
      </c>
      <c r="C5" s="25">
        <v>18531975</v>
      </c>
      <c r="D5" s="25">
        <v>18531975</v>
      </c>
      <c r="E5" s="14"/>
      <c r="F5" s="26"/>
      <c r="G5" s="26"/>
      <c r="H5" s="27"/>
    </row>
    <row r="6" spans="1:13" ht="14.25" customHeight="1" x14ac:dyDescent="0.3">
      <c r="A6" s="1"/>
      <c r="B6" s="6"/>
      <c r="C6" s="4"/>
      <c r="D6" s="4"/>
      <c r="E6" s="14"/>
      <c r="F6" s="4"/>
      <c r="G6" s="4"/>
      <c r="H6" s="14"/>
      <c r="J6" s="37" t="s">
        <v>115</v>
      </c>
      <c r="K6" s="37"/>
      <c r="L6" s="37"/>
      <c r="M6" s="37"/>
    </row>
    <row r="7" spans="1:13" ht="14.25" customHeight="1" x14ac:dyDescent="0.3">
      <c r="A7" s="1"/>
      <c r="B7" s="6" t="s">
        <v>61</v>
      </c>
      <c r="C7" s="4" t="e">
        <f t="shared" ref="C7:C8" si="0">#REF!</f>
        <v>#REF!</v>
      </c>
      <c r="D7" s="4" t="e">
        <f>#REF!+#REF!+#REF!+#REF!</f>
        <v>#REF!</v>
      </c>
      <c r="E7" s="14"/>
      <c r="F7" s="4"/>
      <c r="G7" s="4"/>
      <c r="H7" s="14"/>
      <c r="J7" s="37"/>
      <c r="K7" s="37"/>
      <c r="L7" s="37"/>
      <c r="M7" s="37"/>
    </row>
    <row r="8" spans="1:13" ht="14.25" customHeight="1" x14ac:dyDescent="0.3">
      <c r="A8" s="1"/>
      <c r="B8" s="6" t="s">
        <v>62</v>
      </c>
      <c r="C8" s="4" t="e">
        <f t="shared" si="0"/>
        <v>#REF!</v>
      </c>
      <c r="D8" s="4" t="e">
        <f>#REF!-D7</f>
        <v>#REF!</v>
      </c>
      <c r="E8" s="14" t="e">
        <f t="shared" ref="E8:E9" si="1">D8/C8</f>
        <v>#REF!</v>
      </c>
      <c r="F8" s="4"/>
      <c r="G8" s="4"/>
      <c r="H8" s="14"/>
      <c r="J8" s="37"/>
      <c r="K8" s="37"/>
      <c r="L8" s="37"/>
      <c r="M8" s="37"/>
    </row>
    <row r="9" spans="1:13" ht="14.25" customHeight="1" x14ac:dyDescent="0.3">
      <c r="A9" s="1"/>
      <c r="B9" s="28" t="s">
        <v>63</v>
      </c>
      <c r="C9" s="29" t="e">
        <f t="shared" ref="C9:D9" si="2">C7+C8</f>
        <v>#REF!</v>
      </c>
      <c r="D9" s="29" t="e">
        <f t="shared" si="2"/>
        <v>#REF!</v>
      </c>
      <c r="E9" s="14" t="e">
        <f t="shared" si="1"/>
        <v>#REF!</v>
      </c>
      <c r="F9" s="29"/>
      <c r="G9" s="29"/>
      <c r="H9" s="30"/>
      <c r="J9" s="37"/>
      <c r="K9" s="37"/>
      <c r="L9" s="37"/>
      <c r="M9" s="37"/>
    </row>
    <row r="10" spans="1:13" ht="14.25" customHeight="1" x14ac:dyDescent="0.3">
      <c r="A10" s="1"/>
      <c r="B10" s="6"/>
      <c r="C10" s="4"/>
      <c r="D10" s="4"/>
      <c r="E10" s="6" t="s">
        <v>15</v>
      </c>
      <c r="F10" s="4"/>
      <c r="G10" s="4"/>
      <c r="H10" s="6"/>
      <c r="J10" s="37"/>
      <c r="K10" s="37"/>
      <c r="L10" s="37"/>
      <c r="M10" s="37"/>
    </row>
    <row r="11" spans="1:13" ht="14.25" customHeight="1" x14ac:dyDescent="0.3">
      <c r="A11" s="1"/>
      <c r="B11" s="6" t="s">
        <v>64</v>
      </c>
      <c r="C11" s="4"/>
      <c r="D11" s="4"/>
      <c r="E11" s="6" t="s">
        <v>15</v>
      </c>
      <c r="F11" s="4"/>
      <c r="G11" s="4"/>
      <c r="H11" s="6"/>
      <c r="J11" s="37"/>
      <c r="K11" s="37"/>
      <c r="L11" s="37"/>
      <c r="M11" s="37"/>
    </row>
    <row r="12" spans="1:13" ht="14.25" customHeight="1" x14ac:dyDescent="0.3">
      <c r="A12" s="1"/>
      <c r="B12" s="6" t="s">
        <v>65</v>
      </c>
      <c r="C12" s="4" t="e">
        <f>'CXP (EGRESOS)'!#REF!+'CXP (EGRESOS)'!#REF!+'CXP (EGRESOS)'!#REF!+'CXP (EGRESOS)'!#REF!</f>
        <v>#REF!</v>
      </c>
      <c r="D12" s="4" t="e">
        <f>'CXP (EGRESOS)'!#REF!+'CXP (EGRESOS)'!#REF!</f>
        <v>#REF!</v>
      </c>
      <c r="E12" s="14" t="e">
        <f>D12/C12</f>
        <v>#REF!</v>
      </c>
      <c r="F12" s="4"/>
      <c r="G12" s="4"/>
      <c r="H12" s="14"/>
      <c r="J12" s="37"/>
      <c r="K12" s="37"/>
      <c r="L12" s="37"/>
      <c r="M12" s="37"/>
    </row>
    <row r="13" spans="1:13" ht="14.25" customHeight="1" x14ac:dyDescent="0.3">
      <c r="A13" s="1"/>
      <c r="B13" s="6" t="s">
        <v>66</v>
      </c>
      <c r="C13" s="4"/>
      <c r="D13" s="4"/>
      <c r="E13" s="14"/>
      <c r="F13" s="4"/>
      <c r="G13" s="4"/>
      <c r="H13" s="14"/>
      <c r="J13" s="37"/>
      <c r="K13" s="37"/>
      <c r="L13" s="37"/>
      <c r="M13" s="37"/>
    </row>
    <row r="14" spans="1:13" ht="14.25" customHeight="1" x14ac:dyDescent="0.3">
      <c r="A14" s="1"/>
      <c r="B14" s="6" t="s">
        <v>67</v>
      </c>
      <c r="C14" s="4" t="e">
        <f>'CXP (EGRESOS)'!#REF!</f>
        <v>#REF!</v>
      </c>
      <c r="D14" s="4" t="e">
        <f>'CXP (EGRESOS)'!#REF!</f>
        <v>#REF!</v>
      </c>
      <c r="E14" s="14" t="e">
        <f t="shared" ref="E14:E15" si="3">D14/C14</f>
        <v>#REF!</v>
      </c>
      <c r="F14" s="4"/>
      <c r="G14" s="4"/>
      <c r="H14" s="14"/>
      <c r="J14" s="37"/>
      <c r="K14" s="37"/>
      <c r="L14" s="37"/>
      <c r="M14" s="37"/>
    </row>
    <row r="15" spans="1:13" ht="14.25" customHeight="1" x14ac:dyDescent="0.3">
      <c r="A15" s="1"/>
      <c r="B15" s="6" t="s">
        <v>68</v>
      </c>
      <c r="C15" s="4" t="e">
        <f>'CXP (EGRESOS)'!#REF!+'CXP (EGRESOS)'!#REF!+'CXP (EGRESOS)'!#REF!+'CXP (EGRESOS)'!#REF!+'CXP (EGRESOS)'!#REF!+'CXP (EGRESOS)'!#REF!+'CXP (EGRESOS)'!#REF!+'CXP (EGRESOS)'!#REF!+'CXP (EGRESOS)'!#REF!+'CXP (EGRESOS)'!#REF!+'CXP (EGRESOS)'!#REF!+'CXP (EGRESOS)'!#REF!+'CXP (EGRESOS)'!#REF!+'CXP (EGRESOS)'!#REF!+'CXP (EGRESOS)'!#REF!+'CXP (EGRESOS)'!#REF!+'CXP (EGRESOS)'!#REF!+'CXP (EGRESOS)'!#REF!+'CXP (EGRESOS)'!#REF!+'CXP (EGRESOS)'!#REF!+'CXP (EGRESOS)'!#REF!+'CXP (EGRESOS)'!#REF!+'CXP (EGRESOS)'!#REF!+'CXP (EGRESOS)'!#REF!+'CXP (EGRESOS)'!#REF!+'CXP (EGRESOS)'!#REF!+'CXP (EGRESOS)'!#REF!+'CXP (EGRESOS)'!#REF!+'CXP (EGRESOS)'!#REF!+'CXP (EGRESOS)'!#REF!+'CXP (EGRESOS)'!#REF!+'CXP (EGRESOS)'!#REF!+'CXP (EGRESOS)'!#REF!+'CXP (EGRESOS)'!#REF!</f>
        <v>#REF!</v>
      </c>
      <c r="D15" s="4" t="e">
        <f>'CXP (EGRESOS)'!#REF!+'CXP (EGRESOS)'!#REF!+'CXP (EGRESOS)'!#REF!+'CXP (EGRESOS)'!#REF!+'CXP (EGRESOS)'!#REF!+'CXP (EGRESOS)'!#REF!+'CXP (EGRESOS)'!#REF!+'CXP (EGRESOS)'!#REF!+'CXP (EGRESOS)'!#REF!+'CXP (EGRESOS)'!#REF!+'CXP (EGRESOS)'!#REF!+'CXP (EGRESOS)'!#REF!+'CXP (EGRESOS)'!#REF!+'CXP (EGRESOS)'!#REF!+'CXP (EGRESOS)'!#REF!+'CXP (EGRESOS)'!#REF!+'CXP (EGRESOS)'!#REF!</f>
        <v>#REF!</v>
      </c>
      <c r="E15" s="14" t="e">
        <f t="shared" si="3"/>
        <v>#REF!</v>
      </c>
      <c r="F15" s="4"/>
      <c r="G15" s="4"/>
      <c r="H15" s="14"/>
      <c r="J15" s="37"/>
      <c r="K15" s="37"/>
      <c r="L15" s="37"/>
      <c r="M15" s="37"/>
    </row>
    <row r="16" spans="1:13" ht="14.25" customHeight="1" x14ac:dyDescent="0.3">
      <c r="A16" s="1"/>
      <c r="B16" s="6" t="s">
        <v>69</v>
      </c>
      <c r="C16" s="4"/>
      <c r="D16" s="4"/>
      <c r="E16" s="14"/>
      <c r="F16" s="4"/>
      <c r="G16" s="4"/>
      <c r="H16" s="14"/>
      <c r="J16" s="37"/>
      <c r="K16" s="37"/>
      <c r="L16" s="37"/>
      <c r="M16" s="37"/>
    </row>
    <row r="17" spans="1:13" ht="14.25" customHeight="1" x14ac:dyDescent="0.3">
      <c r="A17" s="1"/>
      <c r="B17" s="6" t="s">
        <v>70</v>
      </c>
      <c r="C17" s="4"/>
      <c r="D17" s="4">
        <f>2500000+5354000</f>
        <v>7854000</v>
      </c>
      <c r="E17" s="14"/>
      <c r="F17" s="4"/>
      <c r="G17" s="4"/>
      <c r="H17" s="14"/>
      <c r="J17" s="37"/>
      <c r="K17" s="37"/>
      <c r="L17" s="37"/>
      <c r="M17" s="37"/>
    </row>
    <row r="18" spans="1:13" ht="14.25" customHeight="1" x14ac:dyDescent="0.3">
      <c r="A18" s="1"/>
      <c r="B18" s="31" t="s">
        <v>71</v>
      </c>
      <c r="C18" s="32" t="e">
        <f t="shared" ref="C18:D18" si="4">SUM(C12:C17)</f>
        <v>#REF!</v>
      </c>
      <c r="D18" s="32" t="e">
        <f t="shared" si="4"/>
        <v>#REF!</v>
      </c>
      <c r="E18" s="14" t="e">
        <f>D18/C18</f>
        <v>#REF!</v>
      </c>
      <c r="F18" s="32"/>
      <c r="G18" s="32"/>
      <c r="H18" s="33"/>
      <c r="J18" s="89"/>
      <c r="K18" s="37"/>
      <c r="L18" s="37"/>
      <c r="M18" s="37"/>
    </row>
    <row r="19" spans="1:13" ht="14.25" customHeight="1" x14ac:dyDescent="0.3">
      <c r="A19" s="1"/>
      <c r="B19" s="6"/>
      <c r="C19" s="4"/>
      <c r="D19" s="4"/>
      <c r="E19" s="6" t="s">
        <v>15</v>
      </c>
      <c r="F19" s="4"/>
      <c r="G19" s="4"/>
      <c r="H19" s="6"/>
      <c r="J19" s="90"/>
      <c r="K19" s="37"/>
      <c r="L19" s="37"/>
      <c r="M19" s="37"/>
    </row>
    <row r="20" spans="1:13" ht="14.25" customHeight="1" x14ac:dyDescent="0.3">
      <c r="A20" s="1"/>
      <c r="B20" s="34" t="s">
        <v>72</v>
      </c>
      <c r="C20" s="35" t="e">
        <f t="shared" ref="C20:D20" si="5">+C5+C9-C18</f>
        <v>#REF!</v>
      </c>
      <c r="D20" s="35" t="e">
        <f t="shared" si="5"/>
        <v>#REF!</v>
      </c>
      <c r="E20" s="14" t="e">
        <f>D20/C20</f>
        <v>#REF!</v>
      </c>
      <c r="F20" s="35"/>
      <c r="G20" s="35"/>
      <c r="H20" s="36"/>
      <c r="J20" s="37"/>
      <c r="K20" s="37"/>
      <c r="L20" s="37"/>
      <c r="M20" s="37"/>
    </row>
    <row r="21" spans="1:13" ht="14.25" customHeight="1" x14ac:dyDescent="0.3">
      <c r="A21" s="1"/>
      <c r="B21" s="1"/>
      <c r="C21" s="1"/>
      <c r="D21" s="1"/>
      <c r="E21" s="1"/>
      <c r="F21" s="12"/>
      <c r="G21" s="1"/>
      <c r="H21" s="1"/>
      <c r="J21" s="37"/>
      <c r="K21" s="37"/>
      <c r="L21" s="37"/>
      <c r="M21" s="37"/>
    </row>
    <row r="22" spans="1:13" ht="14.25" customHeight="1" x14ac:dyDescent="0.3">
      <c r="A22" s="1"/>
      <c r="B22" s="1"/>
      <c r="C22" s="1"/>
      <c r="D22" s="1"/>
      <c r="E22" s="1"/>
      <c r="F22" s="1"/>
      <c r="G22" s="1"/>
      <c r="H22" s="1"/>
      <c r="J22" s="37"/>
      <c r="K22" s="37"/>
      <c r="L22" s="37"/>
      <c r="M22" s="37"/>
    </row>
    <row r="23" spans="1:13" ht="14.25" customHeight="1" x14ac:dyDescent="0.3">
      <c r="A23" s="1"/>
      <c r="F23" s="1"/>
      <c r="G23" s="1"/>
      <c r="H23" s="1"/>
      <c r="J23" s="37"/>
      <c r="K23" s="37"/>
      <c r="L23" s="37"/>
      <c r="M23" s="37"/>
    </row>
    <row r="24" spans="1:13" ht="14.25" customHeight="1" x14ac:dyDescent="0.3">
      <c r="A24" s="1"/>
      <c r="B24" s="1"/>
      <c r="C24" s="1"/>
      <c r="D24" s="1"/>
      <c r="E24" s="1"/>
      <c r="F24" s="1"/>
      <c r="G24" s="1"/>
      <c r="H24" s="1"/>
      <c r="J24" s="37"/>
      <c r="K24" s="37"/>
      <c r="L24" s="37"/>
      <c r="M24" s="37"/>
    </row>
    <row r="25" spans="1:13" ht="14.25" customHeight="1" x14ac:dyDescent="0.3">
      <c r="A25" s="1"/>
      <c r="B25" s="1"/>
      <c r="C25" s="1"/>
      <c r="D25" s="1"/>
      <c r="E25" s="1"/>
      <c r="F25" s="1"/>
      <c r="G25" s="1"/>
      <c r="H25" s="1"/>
      <c r="J25" s="37"/>
      <c r="K25" s="37"/>
      <c r="L25" s="37"/>
      <c r="M25" s="37"/>
    </row>
    <row r="26" spans="1:13" ht="14.25" customHeight="1" x14ac:dyDescent="0.3">
      <c r="A26" s="1"/>
      <c r="B26" s="1"/>
      <c r="C26" s="1"/>
      <c r="D26" s="1"/>
      <c r="E26" s="1"/>
      <c r="F26" s="1"/>
      <c r="G26" s="1"/>
      <c r="H26" s="1"/>
    </row>
    <row r="27" spans="1:13" ht="14.25" customHeight="1" x14ac:dyDescent="0.3">
      <c r="A27" s="1"/>
      <c r="B27" s="1"/>
      <c r="C27" s="1"/>
      <c r="D27" s="1"/>
      <c r="E27" s="1"/>
      <c r="F27" s="1"/>
      <c r="G27" s="1"/>
      <c r="H27" s="1"/>
    </row>
    <row r="28" spans="1:13" ht="14.25" customHeight="1" x14ac:dyDescent="0.3">
      <c r="A28" s="1"/>
      <c r="B28" s="1"/>
      <c r="C28" s="1"/>
      <c r="D28" s="1"/>
      <c r="E28" s="1"/>
      <c r="F28" s="1"/>
      <c r="G28" s="1"/>
      <c r="H28" s="1"/>
    </row>
    <row r="29" spans="1:13" ht="14.25" customHeight="1" x14ac:dyDescent="0.3">
      <c r="A29" s="1"/>
      <c r="B29" s="1"/>
      <c r="C29" s="1"/>
      <c r="D29" s="1"/>
      <c r="E29" s="1"/>
      <c r="F29" s="1"/>
      <c r="G29" s="1"/>
      <c r="H29" s="1"/>
    </row>
    <row r="30" spans="1:13" ht="14.25" customHeight="1" x14ac:dyDescent="0.3">
      <c r="A30" s="1"/>
      <c r="B30" s="1"/>
      <c r="C30" s="1"/>
      <c r="D30" s="1"/>
      <c r="E30" s="1"/>
      <c r="F30" s="1"/>
      <c r="G30" s="1"/>
      <c r="H30" s="1"/>
    </row>
    <row r="31" spans="1:13" ht="14.25" customHeight="1" x14ac:dyDescent="0.3">
      <c r="A31" s="1"/>
      <c r="B31" s="1"/>
      <c r="C31" s="1"/>
      <c r="D31" s="1"/>
      <c r="E31" s="1"/>
      <c r="F31" s="1"/>
      <c r="G31" s="1"/>
      <c r="H31" s="1"/>
    </row>
    <row r="32" spans="1:13" ht="14.25" customHeight="1" x14ac:dyDescent="0.3">
      <c r="A32" s="1"/>
      <c r="B32" s="1"/>
      <c r="C32" s="1"/>
      <c r="D32" s="1"/>
      <c r="E32" s="1"/>
      <c r="F32" s="1"/>
      <c r="G32" s="1"/>
      <c r="H32" s="1"/>
    </row>
    <row r="33" spans="1:8" ht="14.25" customHeight="1" x14ac:dyDescent="0.3">
      <c r="A33" s="1"/>
      <c r="B33" s="1"/>
      <c r="C33" s="1"/>
      <c r="D33" s="1"/>
      <c r="E33" s="1"/>
      <c r="F33" s="1"/>
      <c r="G33" s="1"/>
      <c r="H33" s="1"/>
    </row>
    <row r="34" spans="1:8" ht="14.25" customHeight="1" x14ac:dyDescent="0.3">
      <c r="A34" s="1"/>
      <c r="B34" s="1"/>
      <c r="C34" s="1"/>
      <c r="D34" s="1"/>
      <c r="E34" s="1"/>
      <c r="F34" s="1"/>
      <c r="G34" s="1"/>
      <c r="H34" s="1"/>
    </row>
    <row r="35" spans="1:8" ht="14.25" customHeight="1" x14ac:dyDescent="0.3">
      <c r="A35" s="1"/>
      <c r="B35" s="1"/>
      <c r="C35" s="1"/>
      <c r="D35" s="1"/>
      <c r="E35" s="1"/>
      <c r="F35" s="1"/>
      <c r="G35" s="1"/>
      <c r="H35" s="1"/>
    </row>
    <row r="36" spans="1:8" ht="14.25" customHeight="1" x14ac:dyDescent="0.3">
      <c r="A36" s="1"/>
      <c r="B36" s="1"/>
      <c r="C36" s="1"/>
      <c r="D36" s="1"/>
      <c r="E36" s="1"/>
      <c r="F36" s="1"/>
      <c r="G36" s="1"/>
      <c r="H36" s="1"/>
    </row>
    <row r="37" spans="1:8" ht="14.25" customHeight="1" x14ac:dyDescent="0.3">
      <c r="A37" s="1"/>
      <c r="B37" s="1"/>
      <c r="C37" s="1"/>
      <c r="D37" s="1"/>
      <c r="E37" s="1"/>
      <c r="F37" s="1"/>
      <c r="G37" s="1"/>
      <c r="H37" s="1"/>
    </row>
    <row r="38" spans="1:8" ht="14.25" customHeight="1" x14ac:dyDescent="0.3">
      <c r="A38" s="1"/>
      <c r="B38" s="1"/>
      <c r="C38" s="1"/>
      <c r="D38" s="1"/>
      <c r="E38" s="1"/>
      <c r="F38" s="1"/>
      <c r="G38" s="1"/>
      <c r="H38" s="1"/>
    </row>
    <row r="39" spans="1:8" ht="14.25" customHeight="1" x14ac:dyDescent="0.3">
      <c r="A39" s="1"/>
      <c r="B39" s="1"/>
      <c r="C39" s="1"/>
      <c r="D39" s="1"/>
      <c r="E39" s="1"/>
      <c r="F39" s="1"/>
      <c r="G39" s="1"/>
      <c r="H39" s="1"/>
    </row>
    <row r="40" spans="1:8" ht="14.25" customHeight="1" x14ac:dyDescent="0.3">
      <c r="A40" s="1"/>
      <c r="B40" s="1"/>
      <c r="C40" s="1"/>
      <c r="D40" s="1"/>
      <c r="E40" s="1"/>
      <c r="F40" s="1"/>
      <c r="G40" s="1"/>
      <c r="H40" s="1"/>
    </row>
    <row r="41" spans="1:8" ht="14.25" customHeight="1" x14ac:dyDescent="0.3">
      <c r="A41" s="1"/>
      <c r="B41" s="1"/>
      <c r="C41" s="1"/>
      <c r="D41" s="1"/>
      <c r="E41" s="1"/>
      <c r="F41" s="1"/>
      <c r="G41" s="1"/>
      <c r="H41" s="1"/>
    </row>
    <row r="42" spans="1:8" ht="14.25" customHeight="1" x14ac:dyDescent="0.3">
      <c r="A42" s="1"/>
      <c r="B42" s="1"/>
      <c r="C42" s="1"/>
      <c r="D42" s="1"/>
      <c r="E42" s="1"/>
      <c r="F42" s="1"/>
      <c r="G42" s="1"/>
      <c r="H42" s="1"/>
    </row>
    <row r="43" spans="1:8" ht="14.25" customHeight="1" x14ac:dyDescent="0.3">
      <c r="A43" s="1"/>
      <c r="B43" s="1"/>
      <c r="C43" s="1"/>
      <c r="D43" s="1"/>
      <c r="E43" s="1"/>
      <c r="F43" s="1"/>
      <c r="G43" s="1"/>
      <c r="H43" s="1"/>
    </row>
    <row r="44" spans="1:8" ht="14.25" customHeight="1" x14ac:dyDescent="0.3">
      <c r="A44" s="1"/>
      <c r="B44" s="1"/>
      <c r="C44" s="1"/>
      <c r="D44" s="1"/>
      <c r="E44" s="1"/>
      <c r="F44" s="1"/>
      <c r="G44" s="1"/>
      <c r="H44" s="1"/>
    </row>
    <row r="45" spans="1:8" ht="14.25" customHeight="1" x14ac:dyDescent="0.3">
      <c r="A45" s="1"/>
      <c r="B45" s="1"/>
      <c r="C45" s="1"/>
      <c r="D45" s="1"/>
      <c r="E45" s="1"/>
      <c r="F45" s="1"/>
      <c r="G45" s="1"/>
      <c r="H45" s="1"/>
    </row>
    <row r="46" spans="1:8" ht="14.25" customHeight="1" x14ac:dyDescent="0.3">
      <c r="A46" s="1"/>
      <c r="B46" s="1"/>
      <c r="C46" s="1"/>
      <c r="D46" s="1"/>
      <c r="E46" s="1"/>
      <c r="F46" s="1"/>
      <c r="G46" s="1"/>
      <c r="H46" s="1"/>
    </row>
    <row r="47" spans="1:8" ht="14.25" customHeight="1" x14ac:dyDescent="0.3">
      <c r="A47" s="1"/>
      <c r="B47" s="1"/>
      <c r="C47" s="1"/>
      <c r="D47" s="1"/>
      <c r="E47" s="1"/>
      <c r="F47" s="1"/>
      <c r="G47" s="1"/>
      <c r="H47" s="1"/>
    </row>
    <row r="48" spans="1:8" ht="14.25" customHeight="1" x14ac:dyDescent="0.3">
      <c r="A48" s="1"/>
      <c r="B48" s="1"/>
      <c r="C48" s="1"/>
      <c r="D48" s="1"/>
      <c r="E48" s="1"/>
      <c r="F48" s="1"/>
      <c r="G48" s="1"/>
      <c r="H48" s="1"/>
    </row>
    <row r="49" spans="1:8" ht="14.25" customHeight="1" x14ac:dyDescent="0.3">
      <c r="A49" s="1"/>
      <c r="B49" s="1"/>
      <c r="C49" s="1"/>
      <c r="D49" s="1"/>
      <c r="E49" s="1"/>
      <c r="F49" s="1"/>
      <c r="G49" s="1"/>
      <c r="H49" s="1"/>
    </row>
    <row r="50" spans="1:8" ht="14.25" customHeight="1" x14ac:dyDescent="0.3">
      <c r="A50" s="1"/>
      <c r="B50" s="1"/>
      <c r="C50" s="1"/>
      <c r="D50" s="1"/>
      <c r="E50" s="1"/>
      <c r="F50" s="1"/>
      <c r="G50" s="1"/>
      <c r="H50" s="1"/>
    </row>
    <row r="51" spans="1:8" ht="14.25" customHeight="1" x14ac:dyDescent="0.3">
      <c r="A51" s="1"/>
      <c r="B51" s="1"/>
      <c r="C51" s="1"/>
      <c r="D51" s="1"/>
      <c r="E51" s="1"/>
      <c r="F51" s="1"/>
      <c r="G51" s="1"/>
      <c r="H51" s="1"/>
    </row>
    <row r="52" spans="1:8" ht="14.25" customHeight="1" x14ac:dyDescent="0.3">
      <c r="A52" s="1"/>
      <c r="B52" s="1"/>
      <c r="C52" s="1"/>
      <c r="D52" s="1"/>
      <c r="E52" s="1"/>
      <c r="F52" s="1"/>
      <c r="G52" s="1"/>
      <c r="H52" s="1"/>
    </row>
    <row r="53" spans="1:8" ht="14.25" customHeight="1" x14ac:dyDescent="0.3">
      <c r="A53" s="1"/>
      <c r="B53" s="1"/>
      <c r="C53" s="1"/>
      <c r="D53" s="1"/>
      <c r="E53" s="1"/>
      <c r="F53" s="1"/>
      <c r="G53" s="1"/>
      <c r="H53" s="1"/>
    </row>
    <row r="54" spans="1:8" ht="14.25" customHeight="1" x14ac:dyDescent="0.3">
      <c r="A54" s="1"/>
      <c r="B54" s="1"/>
      <c r="C54" s="1"/>
      <c r="D54" s="1"/>
      <c r="E54" s="1"/>
      <c r="F54" s="1"/>
      <c r="G54" s="1"/>
      <c r="H54" s="1"/>
    </row>
    <row r="55" spans="1:8" ht="14.25" customHeight="1" x14ac:dyDescent="0.3">
      <c r="A55" s="1"/>
      <c r="B55" s="1"/>
      <c r="C55" s="1"/>
      <c r="D55" s="1"/>
      <c r="E55" s="1"/>
      <c r="F55" s="1"/>
      <c r="G55" s="1"/>
      <c r="H55" s="1"/>
    </row>
    <row r="56" spans="1:8" ht="14.25" customHeight="1" x14ac:dyDescent="0.3">
      <c r="A56" s="1"/>
      <c r="B56" s="1"/>
      <c r="C56" s="1"/>
      <c r="D56" s="1"/>
      <c r="E56" s="1"/>
      <c r="F56" s="1"/>
      <c r="G56" s="1"/>
      <c r="H56" s="1"/>
    </row>
    <row r="57" spans="1:8" ht="14.25" customHeight="1" x14ac:dyDescent="0.3">
      <c r="A57" s="1"/>
      <c r="B57" s="1"/>
      <c r="C57" s="1"/>
      <c r="D57" s="1"/>
      <c r="E57" s="1"/>
      <c r="F57" s="1"/>
      <c r="G57" s="1"/>
      <c r="H57" s="1"/>
    </row>
    <row r="58" spans="1:8" ht="14.25" customHeight="1" x14ac:dyDescent="0.3">
      <c r="A58" s="1"/>
      <c r="B58" s="1"/>
      <c r="C58" s="1"/>
      <c r="D58" s="1"/>
      <c r="E58" s="1"/>
      <c r="F58" s="1"/>
      <c r="G58" s="1"/>
      <c r="H58" s="1"/>
    </row>
    <row r="59" spans="1:8" ht="14.25" customHeight="1" x14ac:dyDescent="0.3">
      <c r="A59" s="1"/>
      <c r="B59" s="1"/>
      <c r="C59" s="1"/>
      <c r="D59" s="1"/>
      <c r="E59" s="1"/>
      <c r="F59" s="1"/>
      <c r="G59" s="1"/>
      <c r="H59" s="1"/>
    </row>
    <row r="60" spans="1:8" ht="14.25" customHeight="1" x14ac:dyDescent="0.3">
      <c r="A60" s="1"/>
      <c r="B60" s="1"/>
      <c r="C60" s="1"/>
      <c r="D60" s="1"/>
      <c r="E60" s="1"/>
      <c r="F60" s="1"/>
      <c r="G60" s="1"/>
      <c r="H60" s="1"/>
    </row>
    <row r="61" spans="1:8" ht="14.25" customHeight="1" x14ac:dyDescent="0.3">
      <c r="A61" s="1"/>
      <c r="B61" s="1"/>
      <c r="C61" s="1"/>
      <c r="D61" s="1"/>
      <c r="E61" s="1"/>
      <c r="F61" s="1"/>
      <c r="G61" s="1"/>
      <c r="H61" s="1"/>
    </row>
    <row r="62" spans="1:8" ht="14.25" customHeight="1" x14ac:dyDescent="0.3">
      <c r="A62" s="1"/>
      <c r="B62" s="1"/>
      <c r="C62" s="1"/>
      <c r="D62" s="1"/>
      <c r="E62" s="1"/>
      <c r="F62" s="1"/>
      <c r="G62" s="1"/>
      <c r="H62" s="1"/>
    </row>
    <row r="63" spans="1:8" ht="14.25" customHeight="1" x14ac:dyDescent="0.3">
      <c r="A63" s="1"/>
      <c r="B63" s="1"/>
      <c r="C63" s="1"/>
      <c r="D63" s="1"/>
      <c r="E63" s="1"/>
      <c r="F63" s="1"/>
      <c r="G63" s="1"/>
      <c r="H63" s="1"/>
    </row>
    <row r="64" spans="1:8" ht="14.25" customHeight="1" x14ac:dyDescent="0.3">
      <c r="A64" s="1"/>
      <c r="B64" s="1"/>
      <c r="C64" s="1"/>
      <c r="D64" s="1"/>
      <c r="E64" s="1"/>
      <c r="F64" s="1"/>
      <c r="G64" s="1"/>
      <c r="H64" s="1"/>
    </row>
    <row r="65" spans="1:8" ht="14.25" customHeight="1" x14ac:dyDescent="0.3">
      <c r="A65" s="1"/>
      <c r="B65" s="1"/>
      <c r="C65" s="1"/>
      <c r="D65" s="1"/>
      <c r="E65" s="1"/>
      <c r="F65" s="1"/>
      <c r="G65" s="1"/>
      <c r="H65" s="1"/>
    </row>
    <row r="66" spans="1:8" ht="14.25" customHeight="1" x14ac:dyDescent="0.3">
      <c r="A66" s="1"/>
      <c r="B66" s="1"/>
      <c r="C66" s="1"/>
      <c r="D66" s="1"/>
      <c r="E66" s="1"/>
      <c r="F66" s="1"/>
      <c r="G66" s="1"/>
      <c r="H66" s="1"/>
    </row>
    <row r="67" spans="1:8" ht="14.25" customHeight="1" x14ac:dyDescent="0.3">
      <c r="A67" s="1"/>
      <c r="B67" s="1"/>
      <c r="C67" s="1"/>
      <c r="D67" s="1"/>
      <c r="E67" s="1"/>
      <c r="F67" s="1"/>
      <c r="G67" s="1"/>
      <c r="H67" s="1"/>
    </row>
    <row r="68" spans="1:8" ht="14.25" customHeight="1" x14ac:dyDescent="0.3">
      <c r="A68" s="1"/>
      <c r="B68" s="1"/>
      <c r="C68" s="1"/>
      <c r="D68" s="1"/>
      <c r="E68" s="1"/>
      <c r="F68" s="1"/>
      <c r="G68" s="1"/>
      <c r="H68" s="1"/>
    </row>
    <row r="69" spans="1:8" ht="14.25" customHeight="1" x14ac:dyDescent="0.3">
      <c r="A69" s="1"/>
      <c r="B69" s="1"/>
      <c r="C69" s="1"/>
      <c r="D69" s="1"/>
      <c r="E69" s="1"/>
      <c r="F69" s="1"/>
      <c r="G69" s="1"/>
      <c r="H69" s="1"/>
    </row>
    <row r="70" spans="1:8" ht="14.25" customHeight="1" x14ac:dyDescent="0.3">
      <c r="A70" s="1"/>
      <c r="B70" s="1"/>
      <c r="C70" s="1"/>
      <c r="D70" s="1"/>
      <c r="E70" s="1"/>
      <c r="F70" s="1"/>
      <c r="G70" s="1"/>
      <c r="H70" s="1"/>
    </row>
    <row r="71" spans="1:8" ht="14.25" customHeight="1" x14ac:dyDescent="0.3">
      <c r="A71" s="1"/>
      <c r="B71" s="1"/>
      <c r="C71" s="1"/>
      <c r="D71" s="1"/>
      <c r="E71" s="1"/>
      <c r="F71" s="1"/>
      <c r="G71" s="1"/>
      <c r="H71" s="1"/>
    </row>
    <row r="72" spans="1:8" ht="14.25" customHeight="1" x14ac:dyDescent="0.3">
      <c r="A72" s="1"/>
      <c r="B72" s="1"/>
      <c r="C72" s="1"/>
      <c r="D72" s="1"/>
      <c r="E72" s="1"/>
      <c r="F72" s="1"/>
      <c r="G72" s="1"/>
      <c r="H72" s="1"/>
    </row>
    <row r="73" spans="1:8" ht="14.25" customHeight="1" x14ac:dyDescent="0.3">
      <c r="A73" s="1"/>
      <c r="B73" s="1"/>
      <c r="C73" s="1"/>
      <c r="D73" s="1"/>
      <c r="E73" s="1"/>
      <c r="F73" s="1"/>
      <c r="G73" s="1"/>
      <c r="H73" s="1"/>
    </row>
    <row r="74" spans="1:8" ht="14.25" customHeight="1" x14ac:dyDescent="0.3">
      <c r="A74" s="1"/>
      <c r="B74" s="1"/>
      <c r="C74" s="1"/>
      <c r="D74" s="1"/>
      <c r="E74" s="1"/>
      <c r="F74" s="1"/>
      <c r="G74" s="1"/>
      <c r="H74" s="1"/>
    </row>
    <row r="75" spans="1:8" ht="14.25" customHeight="1" x14ac:dyDescent="0.3">
      <c r="A75" s="1"/>
      <c r="B75" s="1"/>
      <c r="C75" s="1"/>
      <c r="D75" s="1"/>
      <c r="E75" s="1"/>
      <c r="F75" s="1"/>
      <c r="G75" s="1"/>
      <c r="H75" s="1"/>
    </row>
    <row r="76" spans="1:8" ht="14.25" customHeight="1" x14ac:dyDescent="0.3">
      <c r="A76" s="1"/>
      <c r="B76" s="1"/>
      <c r="C76" s="1"/>
      <c r="D76" s="1"/>
      <c r="E76" s="1"/>
      <c r="F76" s="1"/>
      <c r="G76" s="1"/>
      <c r="H76" s="1"/>
    </row>
    <row r="77" spans="1:8" ht="14.25" customHeight="1" x14ac:dyDescent="0.3">
      <c r="A77" s="1"/>
      <c r="B77" s="1"/>
      <c r="C77" s="1"/>
      <c r="D77" s="1"/>
      <c r="E77" s="1"/>
      <c r="F77" s="1"/>
      <c r="G77" s="1"/>
      <c r="H77" s="1"/>
    </row>
    <row r="78" spans="1:8" ht="14.25" customHeight="1" x14ac:dyDescent="0.3">
      <c r="A78" s="1"/>
      <c r="B78" s="1"/>
      <c r="C78" s="1"/>
      <c r="D78" s="1"/>
      <c r="E78" s="1"/>
      <c r="F78" s="1"/>
      <c r="G78" s="1"/>
      <c r="H78" s="1"/>
    </row>
    <row r="79" spans="1:8" ht="14.25" customHeight="1" x14ac:dyDescent="0.3">
      <c r="A79" s="1"/>
      <c r="B79" s="1"/>
      <c r="C79" s="1"/>
      <c r="D79" s="1"/>
      <c r="E79" s="1"/>
      <c r="F79" s="1"/>
      <c r="G79" s="1"/>
      <c r="H79" s="1"/>
    </row>
    <row r="80" spans="1:8" ht="14.25" customHeight="1" x14ac:dyDescent="0.3">
      <c r="A80" s="1"/>
      <c r="B80" s="1"/>
      <c r="C80" s="1"/>
      <c r="D80" s="1"/>
      <c r="E80" s="1"/>
      <c r="F80" s="1"/>
      <c r="G80" s="1"/>
      <c r="H80" s="1"/>
    </row>
    <row r="81" spans="1:8" ht="14.25" customHeight="1" x14ac:dyDescent="0.3">
      <c r="A81" s="1"/>
      <c r="B81" s="1"/>
      <c r="C81" s="1"/>
      <c r="D81" s="1"/>
      <c r="E81" s="1"/>
      <c r="F81" s="1"/>
      <c r="G81" s="1"/>
      <c r="H81" s="1"/>
    </row>
    <row r="82" spans="1:8" ht="14.25" customHeight="1" x14ac:dyDescent="0.3">
      <c r="A82" s="1"/>
      <c r="B82" s="1"/>
      <c r="C82" s="1"/>
      <c r="D82" s="1"/>
      <c r="E82" s="1"/>
      <c r="F82" s="1"/>
      <c r="G82" s="1"/>
      <c r="H82" s="1"/>
    </row>
    <row r="83" spans="1:8" ht="14.25" customHeight="1" x14ac:dyDescent="0.3">
      <c r="A83" s="1"/>
      <c r="B83" s="1"/>
      <c r="C83" s="1"/>
      <c r="D83" s="1"/>
      <c r="E83" s="1"/>
      <c r="F83" s="1"/>
      <c r="G83" s="1"/>
      <c r="H83" s="1"/>
    </row>
    <row r="84" spans="1:8" ht="14.25" customHeight="1" x14ac:dyDescent="0.3">
      <c r="A84" s="1"/>
      <c r="B84" s="1"/>
      <c r="C84" s="1"/>
      <c r="D84" s="1"/>
      <c r="E84" s="1"/>
      <c r="F84" s="1"/>
      <c r="G84" s="1"/>
      <c r="H84" s="1"/>
    </row>
    <row r="85" spans="1:8" ht="14.25" customHeight="1" x14ac:dyDescent="0.3">
      <c r="A85" s="1"/>
      <c r="B85" s="1"/>
      <c r="C85" s="1"/>
      <c r="D85" s="1"/>
      <c r="E85" s="1"/>
      <c r="F85" s="1"/>
      <c r="G85" s="1"/>
      <c r="H85" s="1"/>
    </row>
    <row r="86" spans="1:8" ht="14.25" customHeight="1" x14ac:dyDescent="0.3">
      <c r="A86" s="1"/>
      <c r="B86" s="1"/>
      <c r="C86" s="1"/>
      <c r="D86" s="1"/>
      <c r="E86" s="1"/>
      <c r="F86" s="1"/>
      <c r="G86" s="1"/>
      <c r="H86" s="1"/>
    </row>
    <row r="87" spans="1:8" ht="14.25" customHeight="1" x14ac:dyDescent="0.3">
      <c r="A87" s="1"/>
      <c r="B87" s="1"/>
      <c r="C87" s="1"/>
      <c r="D87" s="1"/>
      <c r="E87" s="1"/>
      <c r="F87" s="1"/>
      <c r="G87" s="1"/>
      <c r="H87" s="1"/>
    </row>
    <row r="88" spans="1:8" ht="14.25" customHeight="1" x14ac:dyDescent="0.3">
      <c r="A88" s="1"/>
      <c r="B88" s="1"/>
      <c r="C88" s="1"/>
      <c r="D88" s="1"/>
      <c r="E88" s="1"/>
      <c r="F88" s="1"/>
      <c r="G88" s="1"/>
      <c r="H88" s="1"/>
    </row>
    <row r="89" spans="1:8" ht="14.25" customHeight="1" x14ac:dyDescent="0.3">
      <c r="A89" s="1"/>
      <c r="B89" s="1"/>
      <c r="C89" s="1"/>
      <c r="D89" s="1"/>
      <c r="E89" s="1"/>
      <c r="F89" s="1"/>
      <c r="G89" s="1"/>
      <c r="H89" s="1"/>
    </row>
    <row r="90" spans="1:8" ht="14.25" customHeight="1" x14ac:dyDescent="0.3">
      <c r="A90" s="1"/>
      <c r="B90" s="1"/>
      <c r="C90" s="1"/>
      <c r="D90" s="1"/>
      <c r="E90" s="1"/>
      <c r="F90" s="1"/>
      <c r="G90" s="1"/>
      <c r="H90" s="1"/>
    </row>
    <row r="91" spans="1:8" ht="14.25" customHeight="1" x14ac:dyDescent="0.3">
      <c r="A91" s="1"/>
      <c r="B91" s="1"/>
      <c r="C91" s="1"/>
      <c r="D91" s="1"/>
      <c r="E91" s="1"/>
      <c r="F91" s="1"/>
      <c r="G91" s="1"/>
      <c r="H91" s="1"/>
    </row>
    <row r="92" spans="1:8" ht="14.25" customHeight="1" x14ac:dyDescent="0.3">
      <c r="A92" s="1"/>
      <c r="B92" s="1"/>
      <c r="C92" s="1"/>
      <c r="D92" s="1"/>
      <c r="E92" s="1"/>
      <c r="F92" s="1"/>
      <c r="G92" s="1"/>
      <c r="H92" s="1"/>
    </row>
    <row r="93" spans="1:8" ht="14.25" customHeight="1" x14ac:dyDescent="0.3">
      <c r="A93" s="1"/>
      <c r="B93" s="1"/>
      <c r="C93" s="1"/>
      <c r="D93" s="1"/>
      <c r="E93" s="1"/>
      <c r="F93" s="1"/>
      <c r="G93" s="1"/>
      <c r="H93" s="1"/>
    </row>
    <row r="94" spans="1:8" ht="14.25" customHeight="1" x14ac:dyDescent="0.3">
      <c r="A94" s="1"/>
      <c r="B94" s="1"/>
      <c r="C94" s="1"/>
      <c r="D94" s="1"/>
      <c r="E94" s="1"/>
      <c r="F94" s="1"/>
      <c r="G94" s="1"/>
      <c r="H94" s="1"/>
    </row>
    <row r="95" spans="1:8" ht="14.25" customHeight="1" x14ac:dyDescent="0.3">
      <c r="A95" s="1"/>
      <c r="B95" s="1"/>
      <c r="C95" s="1"/>
      <c r="D95" s="1"/>
      <c r="E95" s="1"/>
      <c r="F95" s="1"/>
      <c r="G95" s="1"/>
      <c r="H95" s="1"/>
    </row>
    <row r="96" spans="1:8" ht="14.25" customHeight="1" x14ac:dyDescent="0.3">
      <c r="A96" s="1"/>
      <c r="B96" s="1"/>
      <c r="C96" s="1"/>
      <c r="D96" s="1"/>
      <c r="E96" s="1"/>
      <c r="F96" s="1"/>
      <c r="G96" s="1"/>
      <c r="H96" s="1"/>
    </row>
    <row r="97" spans="1:8" ht="14.25" customHeight="1" x14ac:dyDescent="0.3">
      <c r="A97" s="1"/>
      <c r="B97" s="1"/>
      <c r="C97" s="1"/>
      <c r="D97" s="1"/>
      <c r="E97" s="1"/>
      <c r="F97" s="1"/>
      <c r="G97" s="1"/>
      <c r="H97" s="1"/>
    </row>
    <row r="98" spans="1:8" ht="14.25" customHeight="1" x14ac:dyDescent="0.3">
      <c r="A98" s="1"/>
      <c r="B98" s="1"/>
      <c r="C98" s="1"/>
      <c r="D98" s="1"/>
      <c r="E98" s="1"/>
      <c r="F98" s="1"/>
      <c r="G98" s="1"/>
      <c r="H98" s="1"/>
    </row>
    <row r="99" spans="1:8" ht="14.25" customHeight="1" x14ac:dyDescent="0.3">
      <c r="A99" s="1"/>
      <c r="B99" s="1"/>
      <c r="C99" s="1"/>
      <c r="D99" s="1"/>
      <c r="E99" s="1"/>
      <c r="F99" s="1"/>
      <c r="G99" s="1"/>
      <c r="H99" s="1"/>
    </row>
    <row r="100" spans="1:8" ht="14.25" customHeight="1" x14ac:dyDescent="0.3">
      <c r="A100" s="1"/>
      <c r="B100" s="1"/>
      <c r="C100" s="1"/>
      <c r="D100" s="1"/>
      <c r="E100" s="1"/>
      <c r="F100" s="1"/>
      <c r="G100" s="1"/>
      <c r="H100" s="1"/>
    </row>
    <row r="101" spans="1:8" ht="14.25" customHeight="1" x14ac:dyDescent="0.3">
      <c r="A101" s="1"/>
      <c r="B101" s="1"/>
      <c r="C101" s="1"/>
      <c r="D101" s="1"/>
      <c r="E101" s="1"/>
      <c r="F101" s="1"/>
      <c r="G101" s="1"/>
      <c r="H101" s="1"/>
    </row>
    <row r="102" spans="1:8" ht="14.25" customHeight="1" x14ac:dyDescent="0.3">
      <c r="A102" s="1"/>
      <c r="B102" s="1"/>
      <c r="C102" s="1"/>
      <c r="D102" s="1"/>
      <c r="E102" s="1"/>
      <c r="F102" s="1"/>
      <c r="G102" s="1"/>
      <c r="H102" s="1"/>
    </row>
    <row r="103" spans="1:8" ht="14.25" customHeight="1" x14ac:dyDescent="0.3">
      <c r="A103" s="1"/>
      <c r="B103" s="1"/>
      <c r="C103" s="1"/>
      <c r="D103" s="1"/>
      <c r="E103" s="1"/>
      <c r="F103" s="1"/>
      <c r="G103" s="1"/>
      <c r="H103" s="1"/>
    </row>
    <row r="104" spans="1:8" ht="14.25" customHeight="1" x14ac:dyDescent="0.3">
      <c r="A104" s="1"/>
      <c r="B104" s="1"/>
      <c r="C104" s="1"/>
      <c r="D104" s="1"/>
      <c r="E104" s="1"/>
      <c r="F104" s="1"/>
      <c r="G104" s="1"/>
      <c r="H104" s="1"/>
    </row>
    <row r="105" spans="1:8" ht="14.25" customHeight="1" x14ac:dyDescent="0.3">
      <c r="A105" s="1"/>
      <c r="B105" s="1"/>
      <c r="C105" s="1"/>
      <c r="D105" s="1"/>
      <c r="E105" s="1"/>
      <c r="F105" s="1"/>
      <c r="G105" s="1"/>
      <c r="H105" s="1"/>
    </row>
    <row r="106" spans="1:8" ht="14.25" customHeight="1" x14ac:dyDescent="0.3">
      <c r="A106" s="1"/>
      <c r="B106" s="1"/>
      <c r="C106" s="1"/>
      <c r="D106" s="1"/>
      <c r="E106" s="1"/>
      <c r="F106" s="1"/>
      <c r="G106" s="1"/>
      <c r="H106" s="1"/>
    </row>
    <row r="107" spans="1:8" ht="14.25" customHeight="1" x14ac:dyDescent="0.3">
      <c r="A107" s="1"/>
      <c r="B107" s="1"/>
      <c r="C107" s="1"/>
      <c r="D107" s="1"/>
      <c r="E107" s="1"/>
      <c r="F107" s="1"/>
      <c r="G107" s="1"/>
      <c r="H107" s="1"/>
    </row>
    <row r="108" spans="1:8" ht="14.25" customHeight="1" x14ac:dyDescent="0.3">
      <c r="A108" s="1"/>
      <c r="B108" s="1"/>
      <c r="C108" s="1"/>
      <c r="D108" s="1"/>
      <c r="E108" s="1"/>
      <c r="F108" s="1"/>
      <c r="G108" s="1"/>
      <c r="H108" s="1"/>
    </row>
    <row r="109" spans="1:8" ht="14.25" customHeight="1" x14ac:dyDescent="0.3">
      <c r="A109" s="1"/>
      <c r="B109" s="1"/>
      <c r="C109" s="1"/>
      <c r="D109" s="1"/>
      <c r="E109" s="1"/>
      <c r="F109" s="1"/>
      <c r="G109" s="1"/>
      <c r="H109" s="1"/>
    </row>
    <row r="110" spans="1:8" ht="14.25" customHeight="1" x14ac:dyDescent="0.3">
      <c r="A110" s="1"/>
      <c r="B110" s="1"/>
      <c r="C110" s="1"/>
      <c r="D110" s="1"/>
      <c r="E110" s="1"/>
      <c r="F110" s="1"/>
      <c r="G110" s="1"/>
      <c r="H110" s="1"/>
    </row>
    <row r="111" spans="1:8" ht="14.25" customHeight="1" x14ac:dyDescent="0.3">
      <c r="A111" s="1"/>
      <c r="B111" s="1"/>
      <c r="C111" s="1"/>
      <c r="D111" s="1"/>
      <c r="E111" s="1"/>
      <c r="F111" s="1"/>
      <c r="G111" s="1"/>
      <c r="H111" s="1"/>
    </row>
    <row r="112" spans="1:8" ht="14.25" customHeight="1" x14ac:dyDescent="0.3">
      <c r="A112" s="1"/>
      <c r="B112" s="1"/>
      <c r="C112" s="1"/>
      <c r="D112" s="1"/>
      <c r="E112" s="1"/>
      <c r="F112" s="1"/>
      <c r="G112" s="1"/>
      <c r="H112" s="1"/>
    </row>
    <row r="113" spans="1:8" ht="14.25" customHeight="1" x14ac:dyDescent="0.3">
      <c r="A113" s="1"/>
      <c r="B113" s="1"/>
      <c r="C113" s="1"/>
      <c r="D113" s="1"/>
      <c r="E113" s="1"/>
      <c r="F113" s="1"/>
      <c r="G113" s="1"/>
      <c r="H113" s="1"/>
    </row>
    <row r="114" spans="1:8" ht="14.25" customHeight="1" x14ac:dyDescent="0.3">
      <c r="A114" s="1"/>
      <c r="B114" s="1"/>
      <c r="C114" s="1"/>
      <c r="D114" s="1"/>
      <c r="E114" s="1"/>
      <c r="F114" s="1"/>
      <c r="G114" s="1"/>
      <c r="H114" s="1"/>
    </row>
    <row r="115" spans="1:8" ht="14.25" customHeight="1" x14ac:dyDescent="0.3">
      <c r="A115" s="1"/>
      <c r="B115" s="1"/>
      <c r="C115" s="1"/>
      <c r="D115" s="1"/>
      <c r="E115" s="1"/>
      <c r="F115" s="1"/>
      <c r="G115" s="1"/>
      <c r="H115" s="1"/>
    </row>
    <row r="116" spans="1:8" ht="14.25" customHeight="1" x14ac:dyDescent="0.3">
      <c r="A116" s="1"/>
      <c r="B116" s="1"/>
      <c r="C116" s="1"/>
      <c r="D116" s="1"/>
      <c r="E116" s="1"/>
      <c r="F116" s="1"/>
      <c r="G116" s="1"/>
      <c r="H116" s="1"/>
    </row>
    <row r="117" spans="1:8" ht="14.25" customHeight="1" x14ac:dyDescent="0.3">
      <c r="A117" s="1"/>
      <c r="B117" s="1"/>
      <c r="C117" s="1"/>
      <c r="D117" s="1"/>
      <c r="E117" s="1"/>
      <c r="F117" s="1"/>
      <c r="G117" s="1"/>
      <c r="H117" s="1"/>
    </row>
    <row r="118" spans="1:8" ht="14.25" customHeight="1" x14ac:dyDescent="0.3">
      <c r="A118" s="1"/>
      <c r="B118" s="1"/>
      <c r="C118" s="1"/>
      <c r="D118" s="1"/>
      <c r="E118" s="1"/>
      <c r="F118" s="1"/>
      <c r="G118" s="1"/>
      <c r="H118" s="1"/>
    </row>
    <row r="119" spans="1:8" ht="14.25" customHeight="1" x14ac:dyDescent="0.3">
      <c r="A119" s="1"/>
      <c r="B119" s="1"/>
      <c r="C119" s="1"/>
      <c r="D119" s="1"/>
      <c r="E119" s="1"/>
      <c r="F119" s="1"/>
      <c r="G119" s="1"/>
      <c r="H119" s="1"/>
    </row>
    <row r="120" spans="1:8" ht="14.25" customHeight="1" x14ac:dyDescent="0.3">
      <c r="A120" s="1"/>
      <c r="B120" s="1"/>
      <c r="C120" s="1"/>
      <c r="D120" s="1"/>
      <c r="E120" s="1"/>
      <c r="F120" s="1"/>
      <c r="G120" s="1"/>
      <c r="H120" s="1"/>
    </row>
    <row r="121" spans="1:8" ht="14.25" customHeight="1" x14ac:dyDescent="0.3">
      <c r="A121" s="1"/>
      <c r="B121" s="1"/>
      <c r="C121" s="1"/>
      <c r="D121" s="1"/>
      <c r="E121" s="1"/>
      <c r="F121" s="1"/>
      <c r="G121" s="1"/>
      <c r="H121" s="1"/>
    </row>
    <row r="122" spans="1:8" ht="14.25" customHeight="1" x14ac:dyDescent="0.3">
      <c r="A122" s="1"/>
      <c r="B122" s="1"/>
      <c r="C122" s="1"/>
      <c r="D122" s="1"/>
      <c r="E122" s="1"/>
      <c r="F122" s="1"/>
      <c r="G122" s="1"/>
      <c r="H122" s="1"/>
    </row>
    <row r="123" spans="1:8" ht="14.25" customHeight="1" x14ac:dyDescent="0.3">
      <c r="A123" s="1"/>
      <c r="B123" s="1"/>
      <c r="C123" s="1"/>
      <c r="D123" s="1"/>
      <c r="E123" s="1"/>
      <c r="F123" s="1"/>
      <c r="G123" s="1"/>
      <c r="H123" s="1"/>
    </row>
    <row r="124" spans="1:8" ht="14.25" customHeight="1" x14ac:dyDescent="0.3">
      <c r="A124" s="1"/>
      <c r="B124" s="1"/>
      <c r="C124" s="1"/>
      <c r="D124" s="1"/>
      <c r="E124" s="1"/>
      <c r="F124" s="1"/>
      <c r="G124" s="1"/>
      <c r="H124" s="1"/>
    </row>
    <row r="125" spans="1:8" ht="14.25" customHeight="1" x14ac:dyDescent="0.3">
      <c r="A125" s="1"/>
      <c r="B125" s="1"/>
      <c r="C125" s="1"/>
      <c r="D125" s="1"/>
      <c r="E125" s="1"/>
      <c r="F125" s="1"/>
      <c r="G125" s="1"/>
      <c r="H125" s="1"/>
    </row>
    <row r="126" spans="1:8" ht="14.25" customHeight="1" x14ac:dyDescent="0.3">
      <c r="A126" s="1"/>
      <c r="B126" s="1"/>
      <c r="C126" s="1"/>
      <c r="D126" s="1"/>
      <c r="E126" s="1"/>
      <c r="F126" s="1"/>
      <c r="G126" s="1"/>
      <c r="H126" s="1"/>
    </row>
    <row r="127" spans="1:8" ht="14.25" customHeight="1" x14ac:dyDescent="0.3">
      <c r="A127" s="1"/>
      <c r="B127" s="1"/>
      <c r="C127" s="1"/>
      <c r="D127" s="1"/>
      <c r="E127" s="1"/>
      <c r="F127" s="1"/>
      <c r="G127" s="1"/>
      <c r="H127" s="1"/>
    </row>
    <row r="128" spans="1:8" ht="14.25" customHeight="1" x14ac:dyDescent="0.3">
      <c r="A128" s="1"/>
      <c r="B128" s="1"/>
      <c r="C128" s="1"/>
      <c r="D128" s="1"/>
      <c r="E128" s="1"/>
      <c r="F128" s="1"/>
      <c r="G128" s="1"/>
      <c r="H128" s="1"/>
    </row>
    <row r="129" spans="1:8" ht="14.25" customHeight="1" x14ac:dyDescent="0.3">
      <c r="A129" s="1"/>
      <c r="B129" s="1"/>
      <c r="C129" s="1"/>
      <c r="D129" s="1"/>
      <c r="E129" s="1"/>
      <c r="F129" s="1"/>
      <c r="G129" s="1"/>
      <c r="H129" s="1"/>
    </row>
    <row r="130" spans="1:8" ht="14.25" customHeight="1" x14ac:dyDescent="0.3">
      <c r="A130" s="1"/>
      <c r="B130" s="1"/>
      <c r="C130" s="1"/>
      <c r="D130" s="1"/>
      <c r="E130" s="1"/>
      <c r="F130" s="1"/>
      <c r="G130" s="1"/>
      <c r="H130" s="1"/>
    </row>
    <row r="131" spans="1:8" ht="14.25" customHeight="1" x14ac:dyDescent="0.3">
      <c r="A131" s="1"/>
      <c r="B131" s="1"/>
      <c r="C131" s="1"/>
      <c r="D131" s="1"/>
      <c r="E131" s="1"/>
      <c r="F131" s="1"/>
      <c r="G131" s="1"/>
      <c r="H131" s="1"/>
    </row>
    <row r="132" spans="1:8" ht="14.25" customHeight="1" x14ac:dyDescent="0.3">
      <c r="A132" s="1"/>
      <c r="B132" s="1"/>
      <c r="C132" s="1"/>
      <c r="D132" s="1"/>
      <c r="E132" s="1"/>
      <c r="F132" s="1"/>
      <c r="G132" s="1"/>
      <c r="H132" s="1"/>
    </row>
    <row r="133" spans="1:8" ht="14.25" customHeight="1" x14ac:dyDescent="0.3">
      <c r="A133" s="1"/>
      <c r="B133" s="1"/>
      <c r="C133" s="1"/>
      <c r="D133" s="1"/>
      <c r="E133" s="1"/>
      <c r="F133" s="1"/>
      <c r="G133" s="1"/>
      <c r="H133" s="1"/>
    </row>
    <row r="134" spans="1:8" ht="14.25" customHeight="1" x14ac:dyDescent="0.3">
      <c r="A134" s="1"/>
      <c r="B134" s="1"/>
      <c r="C134" s="1"/>
      <c r="D134" s="1"/>
      <c r="E134" s="1"/>
      <c r="F134" s="1"/>
      <c r="G134" s="1"/>
      <c r="H134" s="1"/>
    </row>
    <row r="135" spans="1:8" ht="14.25" customHeight="1" x14ac:dyDescent="0.3">
      <c r="A135" s="1"/>
      <c r="B135" s="1"/>
      <c r="C135" s="1"/>
      <c r="D135" s="1"/>
      <c r="E135" s="1"/>
      <c r="F135" s="1"/>
      <c r="G135" s="1"/>
      <c r="H135" s="1"/>
    </row>
    <row r="136" spans="1:8" ht="14.25" customHeight="1" x14ac:dyDescent="0.3">
      <c r="A136" s="1"/>
      <c r="B136" s="1"/>
      <c r="C136" s="1"/>
      <c r="D136" s="1"/>
      <c r="E136" s="1"/>
      <c r="F136" s="1"/>
      <c r="G136" s="1"/>
      <c r="H136" s="1"/>
    </row>
    <row r="137" spans="1:8" ht="14.25" customHeight="1" x14ac:dyDescent="0.3">
      <c r="A137" s="1"/>
      <c r="B137" s="1"/>
      <c r="C137" s="1"/>
      <c r="D137" s="1"/>
      <c r="E137" s="1"/>
      <c r="F137" s="1"/>
      <c r="G137" s="1"/>
      <c r="H137" s="1"/>
    </row>
    <row r="138" spans="1:8" ht="14.25" customHeight="1" x14ac:dyDescent="0.3">
      <c r="A138" s="1"/>
      <c r="B138" s="1"/>
      <c r="C138" s="1"/>
      <c r="D138" s="1"/>
      <c r="E138" s="1"/>
      <c r="F138" s="1"/>
      <c r="G138" s="1"/>
      <c r="H138" s="1"/>
    </row>
    <row r="139" spans="1:8" ht="14.25" customHeight="1" x14ac:dyDescent="0.3">
      <c r="A139" s="1"/>
      <c r="B139" s="1"/>
      <c r="C139" s="1"/>
      <c r="D139" s="1"/>
      <c r="E139" s="1"/>
      <c r="F139" s="1"/>
      <c r="G139" s="1"/>
      <c r="H139" s="1"/>
    </row>
    <row r="140" spans="1:8" ht="14.25" customHeight="1" x14ac:dyDescent="0.3">
      <c r="A140" s="1"/>
      <c r="B140" s="1"/>
      <c r="C140" s="1"/>
      <c r="D140" s="1"/>
      <c r="E140" s="1"/>
      <c r="F140" s="1"/>
      <c r="G140" s="1"/>
      <c r="H140" s="1"/>
    </row>
    <row r="141" spans="1:8" ht="14.25" customHeight="1" x14ac:dyDescent="0.3">
      <c r="A141" s="1"/>
      <c r="B141" s="1"/>
      <c r="C141" s="1"/>
      <c r="D141" s="1"/>
      <c r="E141" s="1"/>
      <c r="F141" s="1"/>
      <c r="G141" s="1"/>
      <c r="H141" s="1"/>
    </row>
    <row r="142" spans="1:8" ht="14.25" customHeight="1" x14ac:dyDescent="0.3">
      <c r="A142" s="1"/>
      <c r="B142" s="1"/>
      <c r="C142" s="1"/>
      <c r="D142" s="1"/>
      <c r="E142" s="1"/>
      <c r="F142" s="1"/>
      <c r="G142" s="1"/>
      <c r="H142" s="1"/>
    </row>
    <row r="143" spans="1:8" ht="14.25" customHeight="1" x14ac:dyDescent="0.3">
      <c r="A143" s="1"/>
      <c r="B143" s="1"/>
      <c r="C143" s="1"/>
      <c r="D143" s="1"/>
      <c r="E143" s="1"/>
      <c r="F143" s="1"/>
      <c r="G143" s="1"/>
      <c r="H143" s="1"/>
    </row>
    <row r="144" spans="1:8" ht="14.25" customHeight="1" x14ac:dyDescent="0.3">
      <c r="A144" s="1"/>
      <c r="B144" s="1"/>
      <c r="C144" s="1"/>
      <c r="D144" s="1"/>
      <c r="E144" s="1"/>
      <c r="F144" s="1"/>
      <c r="G144" s="1"/>
      <c r="H144" s="1"/>
    </row>
    <row r="145" spans="1:8" ht="14.25" customHeight="1" x14ac:dyDescent="0.3">
      <c r="A145" s="1"/>
      <c r="B145" s="1"/>
      <c r="C145" s="1"/>
      <c r="D145" s="1"/>
      <c r="E145" s="1"/>
      <c r="F145" s="1"/>
      <c r="G145" s="1"/>
      <c r="H145" s="1"/>
    </row>
    <row r="146" spans="1:8" ht="14.25" customHeight="1" x14ac:dyDescent="0.3">
      <c r="A146" s="1"/>
      <c r="B146" s="1"/>
      <c r="C146" s="1"/>
      <c r="D146" s="1"/>
      <c r="E146" s="1"/>
      <c r="F146" s="1"/>
      <c r="G146" s="1"/>
      <c r="H146" s="1"/>
    </row>
    <row r="147" spans="1:8" ht="14.25" customHeight="1" x14ac:dyDescent="0.3">
      <c r="A147" s="1"/>
      <c r="B147" s="1"/>
      <c r="C147" s="1"/>
      <c r="D147" s="1"/>
      <c r="E147" s="1"/>
      <c r="F147" s="1"/>
      <c r="G147" s="1"/>
      <c r="H147" s="1"/>
    </row>
    <row r="148" spans="1:8" ht="14.25" customHeight="1" x14ac:dyDescent="0.3">
      <c r="A148" s="1"/>
      <c r="B148" s="1"/>
      <c r="C148" s="1"/>
      <c r="D148" s="1"/>
      <c r="E148" s="1"/>
      <c r="F148" s="1"/>
      <c r="G148" s="1"/>
      <c r="H148" s="1"/>
    </row>
    <row r="149" spans="1:8" ht="14.25" customHeight="1" x14ac:dyDescent="0.3">
      <c r="A149" s="1"/>
      <c r="B149" s="1"/>
      <c r="C149" s="1"/>
      <c r="D149" s="1"/>
      <c r="E149" s="1"/>
      <c r="F149" s="1"/>
      <c r="G149" s="1"/>
      <c r="H149" s="1"/>
    </row>
    <row r="150" spans="1:8" ht="14.25" customHeight="1" x14ac:dyDescent="0.3">
      <c r="A150" s="1"/>
      <c r="B150" s="1"/>
      <c r="C150" s="1"/>
      <c r="D150" s="1"/>
      <c r="E150" s="1"/>
      <c r="F150" s="1"/>
      <c r="G150" s="1"/>
      <c r="H150" s="1"/>
    </row>
    <row r="151" spans="1:8" ht="14.25" customHeight="1" x14ac:dyDescent="0.3">
      <c r="A151" s="1"/>
      <c r="B151" s="1"/>
      <c r="C151" s="1"/>
      <c r="D151" s="1"/>
      <c r="E151" s="1"/>
      <c r="F151" s="1"/>
      <c r="G151" s="1"/>
      <c r="H151" s="1"/>
    </row>
    <row r="152" spans="1:8" ht="14.25" customHeight="1" x14ac:dyDescent="0.3">
      <c r="A152" s="1"/>
      <c r="B152" s="1"/>
      <c r="C152" s="1"/>
      <c r="D152" s="1"/>
      <c r="E152" s="1"/>
      <c r="F152" s="1"/>
      <c r="G152" s="1"/>
      <c r="H152" s="1"/>
    </row>
    <row r="153" spans="1:8" ht="14.25" customHeight="1" x14ac:dyDescent="0.3">
      <c r="A153" s="1"/>
      <c r="B153" s="1"/>
      <c r="C153" s="1"/>
      <c r="D153" s="1"/>
      <c r="E153" s="1"/>
      <c r="F153" s="1"/>
      <c r="G153" s="1"/>
      <c r="H153" s="1"/>
    </row>
    <row r="154" spans="1:8" ht="14.25" customHeight="1" x14ac:dyDescent="0.3">
      <c r="A154" s="1"/>
      <c r="B154" s="1"/>
      <c r="C154" s="1"/>
      <c r="D154" s="1"/>
      <c r="E154" s="1"/>
      <c r="F154" s="1"/>
      <c r="G154" s="1"/>
      <c r="H154" s="1"/>
    </row>
    <row r="155" spans="1:8" ht="14.25" customHeight="1" x14ac:dyDescent="0.3">
      <c r="A155" s="1"/>
      <c r="B155" s="1"/>
      <c r="C155" s="1"/>
      <c r="D155" s="1"/>
      <c r="E155" s="1"/>
      <c r="F155" s="1"/>
      <c r="G155" s="1"/>
      <c r="H155" s="1"/>
    </row>
    <row r="156" spans="1:8" ht="14.25" customHeight="1" x14ac:dyDescent="0.3">
      <c r="A156" s="1"/>
      <c r="B156" s="1"/>
      <c r="C156" s="1"/>
      <c r="D156" s="1"/>
      <c r="E156" s="1"/>
      <c r="F156" s="1"/>
      <c r="G156" s="1"/>
      <c r="H156" s="1"/>
    </row>
    <row r="157" spans="1:8" ht="14.25" customHeight="1" x14ac:dyDescent="0.3">
      <c r="A157" s="1"/>
      <c r="B157" s="1"/>
      <c r="C157" s="1"/>
      <c r="D157" s="1"/>
      <c r="E157" s="1"/>
      <c r="F157" s="1"/>
      <c r="G157" s="1"/>
      <c r="H157" s="1"/>
    </row>
    <row r="158" spans="1:8" ht="14.25" customHeight="1" x14ac:dyDescent="0.3">
      <c r="A158" s="1"/>
      <c r="B158" s="1"/>
      <c r="C158" s="1"/>
      <c r="D158" s="1"/>
      <c r="E158" s="1"/>
      <c r="F158" s="1"/>
      <c r="G158" s="1"/>
      <c r="H158" s="1"/>
    </row>
    <row r="159" spans="1:8" ht="14.25" customHeight="1" x14ac:dyDescent="0.3">
      <c r="A159" s="1"/>
      <c r="B159" s="1"/>
      <c r="C159" s="1"/>
      <c r="D159" s="1"/>
      <c r="E159" s="1"/>
      <c r="F159" s="1"/>
      <c r="G159" s="1"/>
      <c r="H159" s="1"/>
    </row>
    <row r="160" spans="1:8" ht="14.25" customHeight="1" x14ac:dyDescent="0.3">
      <c r="A160" s="1"/>
      <c r="B160" s="1"/>
      <c r="C160" s="1"/>
      <c r="D160" s="1"/>
      <c r="E160" s="1"/>
      <c r="F160" s="1"/>
      <c r="G160" s="1"/>
      <c r="H160" s="1"/>
    </row>
    <row r="161" spans="1:8" ht="14.25" customHeight="1" x14ac:dyDescent="0.3">
      <c r="A161" s="1"/>
      <c r="B161" s="1"/>
      <c r="C161" s="1"/>
      <c r="D161" s="1"/>
      <c r="E161" s="1"/>
      <c r="F161" s="1"/>
      <c r="G161" s="1"/>
      <c r="H161" s="1"/>
    </row>
    <row r="162" spans="1:8" ht="14.25" customHeight="1" x14ac:dyDescent="0.3">
      <c r="A162" s="1"/>
      <c r="B162" s="1"/>
      <c r="C162" s="1"/>
      <c r="D162" s="1"/>
      <c r="E162" s="1"/>
      <c r="F162" s="1"/>
      <c r="G162" s="1"/>
      <c r="H162" s="1"/>
    </row>
    <row r="163" spans="1:8" ht="14.25" customHeight="1" x14ac:dyDescent="0.3">
      <c r="A163" s="1"/>
      <c r="B163" s="1"/>
      <c r="C163" s="1"/>
      <c r="D163" s="1"/>
      <c r="E163" s="1"/>
      <c r="F163" s="1"/>
      <c r="G163" s="1"/>
      <c r="H163" s="1"/>
    </row>
    <row r="164" spans="1:8" ht="14.25" customHeight="1" x14ac:dyDescent="0.3">
      <c r="A164" s="1"/>
      <c r="B164" s="1"/>
      <c r="C164" s="1"/>
      <c r="D164" s="1"/>
      <c r="E164" s="1"/>
      <c r="F164" s="1"/>
      <c r="G164" s="1"/>
      <c r="H164" s="1"/>
    </row>
    <row r="165" spans="1:8" ht="14.25" customHeight="1" x14ac:dyDescent="0.3">
      <c r="A165" s="1"/>
      <c r="B165" s="1"/>
      <c r="C165" s="1"/>
      <c r="D165" s="1"/>
      <c r="E165" s="1"/>
      <c r="F165" s="1"/>
      <c r="G165" s="1"/>
      <c r="H165" s="1"/>
    </row>
    <row r="166" spans="1:8" ht="14.25" customHeight="1" x14ac:dyDescent="0.3">
      <c r="A166" s="1"/>
      <c r="B166" s="1"/>
      <c r="C166" s="1"/>
      <c r="D166" s="1"/>
      <c r="E166" s="1"/>
      <c r="F166" s="1"/>
      <c r="G166" s="1"/>
      <c r="H166" s="1"/>
    </row>
    <row r="167" spans="1:8" ht="14.25" customHeight="1" x14ac:dyDescent="0.3">
      <c r="A167" s="1"/>
      <c r="B167" s="1"/>
      <c r="C167" s="1"/>
      <c r="D167" s="1"/>
      <c r="E167" s="1"/>
      <c r="F167" s="1"/>
      <c r="G167" s="1"/>
      <c r="H167" s="1"/>
    </row>
    <row r="168" spans="1:8" ht="14.25" customHeight="1" x14ac:dyDescent="0.3">
      <c r="A168" s="1"/>
      <c r="B168" s="1"/>
      <c r="C168" s="1"/>
      <c r="D168" s="1"/>
      <c r="E168" s="1"/>
      <c r="F168" s="1"/>
      <c r="G168" s="1"/>
      <c r="H168" s="1"/>
    </row>
    <row r="169" spans="1:8" ht="14.25" customHeight="1" x14ac:dyDescent="0.3">
      <c r="A169" s="1"/>
      <c r="B169" s="1"/>
      <c r="C169" s="1"/>
      <c r="D169" s="1"/>
      <c r="E169" s="1"/>
      <c r="F169" s="1"/>
      <c r="G169" s="1"/>
      <c r="H169" s="1"/>
    </row>
    <row r="170" spans="1:8" ht="14.25" customHeight="1" x14ac:dyDescent="0.3">
      <c r="A170" s="1"/>
      <c r="B170" s="1"/>
      <c r="C170" s="1"/>
      <c r="D170" s="1"/>
      <c r="E170" s="1"/>
      <c r="F170" s="1"/>
      <c r="G170" s="1"/>
      <c r="H170" s="1"/>
    </row>
    <row r="171" spans="1:8" ht="14.25" customHeight="1" x14ac:dyDescent="0.3">
      <c r="A171" s="1"/>
      <c r="B171" s="1"/>
      <c r="C171" s="1"/>
      <c r="D171" s="1"/>
      <c r="E171" s="1"/>
      <c r="F171" s="1"/>
      <c r="G171" s="1"/>
      <c r="H171" s="1"/>
    </row>
    <row r="172" spans="1:8" ht="14.25" customHeight="1" x14ac:dyDescent="0.3">
      <c r="A172" s="1"/>
      <c r="B172" s="1"/>
      <c r="C172" s="1"/>
      <c r="D172" s="1"/>
      <c r="E172" s="1"/>
      <c r="F172" s="1"/>
      <c r="G172" s="1"/>
      <c r="H172" s="1"/>
    </row>
    <row r="173" spans="1:8" ht="14.25" customHeight="1" x14ac:dyDescent="0.3">
      <c r="A173" s="1"/>
      <c r="B173" s="1"/>
      <c r="C173" s="1"/>
      <c r="D173" s="1"/>
      <c r="E173" s="1"/>
      <c r="F173" s="1"/>
      <c r="G173" s="1"/>
      <c r="H173" s="1"/>
    </row>
    <row r="174" spans="1:8" ht="14.25" customHeight="1" x14ac:dyDescent="0.3">
      <c r="A174" s="1"/>
      <c r="B174" s="1"/>
      <c r="C174" s="1"/>
      <c r="D174" s="1"/>
      <c r="E174" s="1"/>
      <c r="F174" s="1"/>
      <c r="G174" s="1"/>
      <c r="H174" s="1"/>
    </row>
    <row r="175" spans="1:8" ht="14.25" customHeight="1" x14ac:dyDescent="0.3">
      <c r="A175" s="1"/>
      <c r="B175" s="1"/>
      <c r="C175" s="1"/>
      <c r="D175" s="1"/>
      <c r="E175" s="1"/>
      <c r="F175" s="1"/>
      <c r="G175" s="1"/>
      <c r="H175" s="1"/>
    </row>
    <row r="176" spans="1:8" ht="14.25" customHeight="1" x14ac:dyDescent="0.3">
      <c r="A176" s="1"/>
      <c r="B176" s="1"/>
      <c r="C176" s="1"/>
      <c r="D176" s="1"/>
      <c r="E176" s="1"/>
      <c r="F176" s="1"/>
      <c r="G176" s="1"/>
      <c r="H176" s="1"/>
    </row>
    <row r="177" spans="1:8" ht="14.25" customHeight="1" x14ac:dyDescent="0.3">
      <c r="A177" s="1"/>
      <c r="B177" s="1"/>
      <c r="C177" s="1"/>
      <c r="D177" s="1"/>
      <c r="E177" s="1"/>
      <c r="F177" s="1"/>
      <c r="G177" s="1"/>
      <c r="H177" s="1"/>
    </row>
    <row r="178" spans="1:8" ht="14.25" customHeight="1" x14ac:dyDescent="0.3">
      <c r="A178" s="1"/>
      <c r="B178" s="1"/>
      <c r="C178" s="1"/>
      <c r="D178" s="1"/>
      <c r="E178" s="1"/>
      <c r="F178" s="1"/>
      <c r="G178" s="1"/>
      <c r="H178" s="1"/>
    </row>
    <row r="179" spans="1:8" ht="14.25" customHeight="1" x14ac:dyDescent="0.3">
      <c r="A179" s="1"/>
      <c r="B179" s="1"/>
      <c r="C179" s="1"/>
      <c r="D179" s="1"/>
      <c r="E179" s="1"/>
      <c r="F179" s="1"/>
      <c r="G179" s="1"/>
      <c r="H179" s="1"/>
    </row>
    <row r="180" spans="1:8" ht="14.25" customHeight="1" x14ac:dyDescent="0.3">
      <c r="A180" s="1"/>
      <c r="B180" s="1"/>
      <c r="C180" s="1"/>
      <c r="D180" s="1"/>
      <c r="E180" s="1"/>
      <c r="F180" s="1"/>
      <c r="G180" s="1"/>
      <c r="H180" s="1"/>
    </row>
    <row r="181" spans="1:8" ht="14.25" customHeight="1" x14ac:dyDescent="0.3">
      <c r="A181" s="1"/>
      <c r="B181" s="1"/>
      <c r="C181" s="1"/>
      <c r="D181" s="1"/>
      <c r="E181" s="1"/>
      <c r="F181" s="1"/>
      <c r="G181" s="1"/>
      <c r="H181" s="1"/>
    </row>
    <row r="182" spans="1:8" ht="14.25" customHeight="1" x14ac:dyDescent="0.3">
      <c r="A182" s="1"/>
      <c r="B182" s="1"/>
      <c r="C182" s="1"/>
      <c r="D182" s="1"/>
      <c r="E182" s="1"/>
      <c r="F182" s="1"/>
      <c r="G182" s="1"/>
      <c r="H182" s="1"/>
    </row>
    <row r="183" spans="1:8" ht="14.25" customHeight="1" x14ac:dyDescent="0.3">
      <c r="A183" s="1"/>
      <c r="B183" s="1"/>
      <c r="C183" s="1"/>
      <c r="D183" s="1"/>
      <c r="E183" s="1"/>
      <c r="F183" s="1"/>
      <c r="G183" s="1"/>
      <c r="H183" s="1"/>
    </row>
    <row r="184" spans="1:8" ht="14.25" customHeight="1" x14ac:dyDescent="0.3">
      <c r="A184" s="1"/>
      <c r="B184" s="1"/>
      <c r="C184" s="1"/>
      <c r="D184" s="1"/>
      <c r="E184" s="1"/>
      <c r="F184" s="1"/>
      <c r="G184" s="1"/>
      <c r="H184" s="1"/>
    </row>
    <row r="185" spans="1:8" ht="14.25" customHeight="1" x14ac:dyDescent="0.3">
      <c r="A185" s="1"/>
      <c r="B185" s="1"/>
      <c r="C185" s="1"/>
      <c r="D185" s="1"/>
      <c r="E185" s="1"/>
      <c r="F185" s="1"/>
      <c r="G185" s="1"/>
      <c r="H185" s="1"/>
    </row>
    <row r="186" spans="1:8" ht="14.25" customHeight="1" x14ac:dyDescent="0.3">
      <c r="A186" s="1"/>
      <c r="B186" s="1"/>
      <c r="C186" s="1"/>
      <c r="D186" s="1"/>
      <c r="E186" s="1"/>
      <c r="F186" s="1"/>
      <c r="G186" s="1"/>
      <c r="H186" s="1"/>
    </row>
    <row r="187" spans="1:8" ht="14.25" customHeight="1" x14ac:dyDescent="0.3">
      <c r="A187" s="1"/>
      <c r="B187" s="1"/>
      <c r="C187" s="1"/>
      <c r="D187" s="1"/>
      <c r="E187" s="1"/>
      <c r="F187" s="1"/>
      <c r="G187" s="1"/>
      <c r="H187" s="1"/>
    </row>
    <row r="188" spans="1:8" ht="14.25" customHeight="1" x14ac:dyDescent="0.3">
      <c r="A188" s="1"/>
      <c r="B188" s="1"/>
      <c r="C188" s="1"/>
      <c r="D188" s="1"/>
      <c r="E188" s="1"/>
      <c r="F188" s="1"/>
      <c r="G188" s="1"/>
      <c r="H188" s="1"/>
    </row>
    <row r="189" spans="1:8" ht="14.25" customHeight="1" x14ac:dyDescent="0.3">
      <c r="A189" s="1"/>
      <c r="B189" s="1"/>
      <c r="C189" s="1"/>
      <c r="D189" s="1"/>
      <c r="E189" s="1"/>
      <c r="F189" s="1"/>
      <c r="G189" s="1"/>
      <c r="H189" s="1"/>
    </row>
    <row r="190" spans="1:8" ht="14.25" customHeight="1" x14ac:dyDescent="0.3">
      <c r="A190" s="1"/>
      <c r="B190" s="1"/>
      <c r="C190" s="1"/>
      <c r="D190" s="1"/>
      <c r="E190" s="1"/>
      <c r="F190" s="1"/>
      <c r="G190" s="1"/>
      <c r="H190" s="1"/>
    </row>
    <row r="191" spans="1:8" ht="14.25" customHeight="1" x14ac:dyDescent="0.3">
      <c r="A191" s="1"/>
      <c r="B191" s="1"/>
      <c r="C191" s="1"/>
      <c r="D191" s="1"/>
      <c r="E191" s="1"/>
      <c r="F191" s="1"/>
      <c r="G191" s="1"/>
      <c r="H191" s="1"/>
    </row>
    <row r="192" spans="1:8" ht="14.25" customHeight="1" x14ac:dyDescent="0.3">
      <c r="A192" s="1"/>
      <c r="B192" s="1"/>
      <c r="C192" s="1"/>
      <c r="D192" s="1"/>
      <c r="E192" s="1"/>
      <c r="F192" s="1"/>
      <c r="G192" s="1"/>
      <c r="H192" s="1"/>
    </row>
    <row r="193" spans="1:8" ht="14.25" customHeight="1" x14ac:dyDescent="0.3">
      <c r="A193" s="1"/>
      <c r="B193" s="1"/>
      <c r="C193" s="1"/>
      <c r="D193" s="1"/>
      <c r="E193" s="1"/>
      <c r="F193" s="1"/>
      <c r="G193" s="1"/>
      <c r="H193" s="1"/>
    </row>
    <row r="194" spans="1:8" ht="14.25" customHeight="1" x14ac:dyDescent="0.3">
      <c r="A194" s="1"/>
      <c r="B194" s="1"/>
      <c r="C194" s="1"/>
      <c r="D194" s="1"/>
      <c r="E194" s="1"/>
      <c r="F194" s="1"/>
      <c r="G194" s="1"/>
      <c r="H194" s="1"/>
    </row>
    <row r="195" spans="1:8" ht="14.25" customHeight="1" x14ac:dyDescent="0.3">
      <c r="A195" s="1"/>
      <c r="B195" s="1"/>
      <c r="C195" s="1"/>
      <c r="D195" s="1"/>
      <c r="E195" s="1"/>
      <c r="F195" s="1"/>
      <c r="G195" s="1"/>
      <c r="H195" s="1"/>
    </row>
    <row r="196" spans="1:8" ht="14.25" customHeight="1" x14ac:dyDescent="0.3">
      <c r="A196" s="1"/>
      <c r="B196" s="1"/>
      <c r="C196" s="1"/>
      <c r="D196" s="1"/>
      <c r="E196" s="1"/>
      <c r="F196" s="1"/>
      <c r="G196" s="1"/>
      <c r="H196" s="1"/>
    </row>
    <row r="197" spans="1:8" ht="14.25" customHeight="1" x14ac:dyDescent="0.3">
      <c r="A197" s="1"/>
      <c r="B197" s="1"/>
      <c r="C197" s="1"/>
      <c r="D197" s="1"/>
      <c r="E197" s="1"/>
      <c r="F197" s="1"/>
      <c r="G197" s="1"/>
      <c r="H197" s="1"/>
    </row>
    <row r="198" spans="1:8" ht="14.25" customHeight="1" x14ac:dyDescent="0.3">
      <c r="A198" s="1"/>
      <c r="B198" s="1"/>
      <c r="C198" s="1"/>
      <c r="D198" s="1"/>
      <c r="E198" s="1"/>
      <c r="F198" s="1"/>
      <c r="G198" s="1"/>
      <c r="H198" s="1"/>
    </row>
    <row r="199" spans="1:8" ht="14.25" customHeight="1" x14ac:dyDescent="0.3">
      <c r="A199" s="1"/>
      <c r="B199" s="1"/>
      <c r="C199" s="1"/>
      <c r="D199" s="1"/>
      <c r="E199" s="1"/>
      <c r="F199" s="1"/>
      <c r="G199" s="1"/>
      <c r="H199" s="1"/>
    </row>
    <row r="200" spans="1:8" ht="14.25" customHeight="1" x14ac:dyDescent="0.3">
      <c r="A200" s="1"/>
      <c r="B200" s="1"/>
      <c r="C200" s="1"/>
      <c r="D200" s="1"/>
      <c r="E200" s="1"/>
      <c r="F200" s="1"/>
      <c r="G200" s="1"/>
      <c r="H200" s="1"/>
    </row>
    <row r="201" spans="1:8" ht="14.25" customHeight="1" x14ac:dyDescent="0.3">
      <c r="A201" s="1"/>
      <c r="B201" s="1"/>
      <c r="C201" s="1"/>
      <c r="D201" s="1"/>
      <c r="E201" s="1"/>
      <c r="F201" s="1"/>
      <c r="G201" s="1"/>
      <c r="H201" s="1"/>
    </row>
    <row r="202" spans="1:8" ht="14.25" customHeight="1" x14ac:dyDescent="0.3">
      <c r="A202" s="1"/>
      <c r="B202" s="1"/>
      <c r="C202" s="1"/>
      <c r="D202" s="1"/>
      <c r="E202" s="1"/>
      <c r="F202" s="1"/>
      <c r="G202" s="1"/>
      <c r="H202" s="1"/>
    </row>
    <row r="203" spans="1:8" ht="14.25" customHeight="1" x14ac:dyDescent="0.3">
      <c r="A203" s="1"/>
      <c r="B203" s="1"/>
      <c r="C203" s="1"/>
      <c r="D203" s="1"/>
      <c r="E203" s="1"/>
      <c r="F203" s="1"/>
      <c r="G203" s="1"/>
      <c r="H203" s="1"/>
    </row>
    <row r="204" spans="1:8" ht="14.25" customHeight="1" x14ac:dyDescent="0.3">
      <c r="A204" s="1"/>
      <c r="B204" s="1"/>
      <c r="C204" s="1"/>
      <c r="D204" s="1"/>
      <c r="E204" s="1"/>
      <c r="F204" s="1"/>
      <c r="G204" s="1"/>
      <c r="H204" s="1"/>
    </row>
    <row r="205" spans="1:8" ht="14.25" customHeight="1" x14ac:dyDescent="0.3">
      <c r="A205" s="1"/>
      <c r="B205" s="1"/>
      <c r="C205" s="1"/>
      <c r="D205" s="1"/>
      <c r="E205" s="1"/>
      <c r="F205" s="1"/>
      <c r="G205" s="1"/>
      <c r="H205" s="1"/>
    </row>
    <row r="206" spans="1:8" ht="14.25" customHeight="1" x14ac:dyDescent="0.3">
      <c r="A206" s="1"/>
      <c r="B206" s="1"/>
      <c r="C206" s="1"/>
      <c r="D206" s="1"/>
      <c r="E206" s="1"/>
      <c r="F206" s="1"/>
      <c r="G206" s="1"/>
      <c r="H206" s="1"/>
    </row>
    <row r="207" spans="1:8" ht="14.25" customHeight="1" x14ac:dyDescent="0.3">
      <c r="A207" s="1"/>
      <c r="B207" s="1"/>
      <c r="C207" s="1"/>
      <c r="D207" s="1"/>
      <c r="E207" s="1"/>
      <c r="F207" s="1"/>
      <c r="G207" s="1"/>
      <c r="H207" s="1"/>
    </row>
    <row r="208" spans="1:8" ht="14.25" customHeight="1" x14ac:dyDescent="0.3">
      <c r="A208" s="1"/>
      <c r="B208" s="1"/>
      <c r="C208" s="1"/>
      <c r="D208" s="1"/>
      <c r="E208" s="1"/>
      <c r="F208" s="1"/>
      <c r="G208" s="1"/>
      <c r="H208" s="1"/>
    </row>
    <row r="209" spans="1:8" ht="14.25" customHeight="1" x14ac:dyDescent="0.3">
      <c r="A209" s="1"/>
      <c r="B209" s="1"/>
      <c r="C209" s="1"/>
      <c r="D209" s="1"/>
      <c r="E209" s="1"/>
      <c r="F209" s="1"/>
      <c r="G209" s="1"/>
      <c r="H209" s="1"/>
    </row>
    <row r="210" spans="1:8" ht="14.25" customHeight="1" x14ac:dyDescent="0.3">
      <c r="A210" s="1"/>
      <c r="B210" s="1"/>
      <c r="C210" s="1"/>
      <c r="D210" s="1"/>
      <c r="E210" s="1"/>
      <c r="F210" s="1"/>
      <c r="G210" s="1"/>
      <c r="H210" s="1"/>
    </row>
    <row r="211" spans="1:8" ht="14.25" customHeight="1" x14ac:dyDescent="0.3">
      <c r="A211" s="1"/>
      <c r="B211" s="1"/>
      <c r="C211" s="1"/>
      <c r="D211" s="1"/>
      <c r="E211" s="1"/>
      <c r="F211" s="1"/>
      <c r="G211" s="1"/>
      <c r="H211" s="1"/>
    </row>
    <row r="212" spans="1:8" ht="14.25" customHeight="1" x14ac:dyDescent="0.3">
      <c r="A212" s="1"/>
      <c r="B212" s="1"/>
      <c r="C212" s="1"/>
      <c r="D212" s="1"/>
      <c r="E212" s="1"/>
      <c r="F212" s="1"/>
      <c r="G212" s="1"/>
      <c r="H212" s="1"/>
    </row>
    <row r="213" spans="1:8" ht="14.25" customHeight="1" x14ac:dyDescent="0.3">
      <c r="A213" s="1"/>
      <c r="B213" s="1"/>
      <c r="C213" s="1"/>
      <c r="D213" s="1"/>
      <c r="E213" s="1"/>
      <c r="F213" s="1"/>
      <c r="G213" s="1"/>
      <c r="H213" s="1"/>
    </row>
    <row r="214" spans="1:8" ht="14.25" customHeight="1" x14ac:dyDescent="0.3">
      <c r="A214" s="1"/>
      <c r="B214" s="1"/>
      <c r="C214" s="1"/>
      <c r="D214" s="1"/>
      <c r="E214" s="1"/>
      <c r="F214" s="1"/>
      <c r="G214" s="1"/>
      <c r="H214" s="1"/>
    </row>
    <row r="215" spans="1:8" ht="14.25" customHeight="1" x14ac:dyDescent="0.3">
      <c r="A215" s="1"/>
      <c r="B215" s="1"/>
      <c r="C215" s="1"/>
      <c r="D215" s="1"/>
      <c r="E215" s="1"/>
      <c r="F215" s="1"/>
      <c r="G215" s="1"/>
      <c r="H215" s="1"/>
    </row>
    <row r="216" spans="1:8" ht="14.25" customHeight="1" x14ac:dyDescent="0.3">
      <c r="A216" s="1"/>
      <c r="B216" s="1"/>
      <c r="C216" s="1"/>
      <c r="D216" s="1"/>
      <c r="E216" s="1"/>
      <c r="F216" s="1"/>
      <c r="G216" s="1"/>
      <c r="H216" s="1"/>
    </row>
    <row r="217" spans="1:8" ht="14.25" customHeight="1" x14ac:dyDescent="0.3">
      <c r="A217" s="1"/>
      <c r="B217" s="1"/>
      <c r="C217" s="1"/>
      <c r="D217" s="1"/>
      <c r="E217" s="1"/>
      <c r="F217" s="1"/>
      <c r="G217" s="1"/>
      <c r="H217" s="1"/>
    </row>
    <row r="218" spans="1:8" ht="14.25" customHeight="1" x14ac:dyDescent="0.3">
      <c r="A218" s="1"/>
      <c r="B218" s="1"/>
      <c r="C218" s="1"/>
      <c r="D218" s="1"/>
      <c r="E218" s="1"/>
      <c r="F218" s="1"/>
      <c r="G218" s="1"/>
      <c r="H218" s="1"/>
    </row>
    <row r="219" spans="1:8" ht="14.25" customHeight="1" x14ac:dyDescent="0.3">
      <c r="A219" s="1"/>
      <c r="B219" s="1"/>
      <c r="C219" s="1"/>
      <c r="D219" s="1"/>
      <c r="E219" s="1"/>
      <c r="F219" s="1"/>
      <c r="G219" s="1"/>
      <c r="H219" s="1"/>
    </row>
    <row r="220" spans="1:8" ht="14.25" customHeight="1" x14ac:dyDescent="0.3">
      <c r="A220" s="1"/>
      <c r="B220" s="1"/>
      <c r="C220" s="1"/>
      <c r="D220" s="1"/>
      <c r="E220" s="1"/>
      <c r="F220" s="1"/>
      <c r="G220" s="1"/>
      <c r="H220" s="1"/>
    </row>
    <row r="221" spans="1:8" ht="14.25" customHeight="1" x14ac:dyDescent="0.3">
      <c r="A221" s="1"/>
      <c r="B221" s="1"/>
      <c r="C221" s="1"/>
      <c r="D221" s="1"/>
      <c r="E221" s="1"/>
      <c r="F221" s="1"/>
      <c r="G221" s="1"/>
      <c r="H221" s="1"/>
    </row>
    <row r="222" spans="1:8" ht="15.75" customHeight="1" x14ac:dyDescent="0.25"/>
    <row r="223" spans="1:8" ht="15.75" customHeight="1" x14ac:dyDescent="0.25"/>
    <row r="224" spans="1:8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:H2"/>
  </mergeCells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6029-D9A7-441B-8B3D-6B416E76A9B6}">
  <dimension ref="B2:L46"/>
  <sheetViews>
    <sheetView workbookViewId="0">
      <selection activeCell="G14" sqref="G14"/>
    </sheetView>
  </sheetViews>
  <sheetFormatPr baseColWidth="10" defaultRowHeight="13.8" x14ac:dyDescent="0.25"/>
  <sheetData>
    <row r="2" spans="2:12" x14ac:dyDescent="0.25">
      <c r="B2" s="125" t="s">
        <v>88</v>
      </c>
      <c r="C2" s="125"/>
      <c r="D2" s="125"/>
      <c r="E2" s="125"/>
      <c r="F2" s="125"/>
      <c r="G2" s="125"/>
      <c r="H2" s="125"/>
      <c r="I2" s="125"/>
      <c r="J2" s="125"/>
      <c r="K2" s="125"/>
    </row>
    <row r="4" spans="2:12" x14ac:dyDescent="0.25">
      <c r="B4" s="87">
        <v>1</v>
      </c>
      <c r="C4" s="87" t="s">
        <v>90</v>
      </c>
      <c r="D4" s="87" t="s">
        <v>95</v>
      </c>
      <c r="E4" s="87" t="s">
        <v>91</v>
      </c>
      <c r="F4" s="87" t="s">
        <v>92</v>
      </c>
      <c r="G4" s="87" t="s">
        <v>93</v>
      </c>
      <c r="H4" s="87" t="s">
        <v>94</v>
      </c>
      <c r="I4" s="87" t="s">
        <v>96</v>
      </c>
      <c r="J4" s="87"/>
    </row>
    <row r="5" spans="2:12" x14ac:dyDescent="0.25">
      <c r="B5" s="87" t="s">
        <v>97</v>
      </c>
      <c r="C5" s="87" t="s">
        <v>98</v>
      </c>
      <c r="D5" s="87"/>
      <c r="E5" s="87"/>
      <c r="F5" s="87"/>
      <c r="G5" s="87"/>
      <c r="H5" s="87"/>
      <c r="I5" s="87"/>
      <c r="J5" s="87"/>
    </row>
    <row r="7" spans="2:12" x14ac:dyDescent="0.25">
      <c r="B7" s="87" t="s">
        <v>79</v>
      </c>
      <c r="C7" s="87" t="s">
        <v>99</v>
      </c>
      <c r="D7" s="87" t="s">
        <v>100</v>
      </c>
      <c r="E7" s="87" t="s">
        <v>101</v>
      </c>
      <c r="F7" s="87" t="s">
        <v>102</v>
      </c>
      <c r="G7" s="87" t="s">
        <v>103</v>
      </c>
      <c r="H7" s="87" t="s">
        <v>105</v>
      </c>
      <c r="I7" s="87" t="s">
        <v>106</v>
      </c>
      <c r="J7" s="87" t="s">
        <v>104</v>
      </c>
      <c r="K7" s="88" t="s">
        <v>108</v>
      </c>
    </row>
    <row r="11" spans="2:12" x14ac:dyDescent="0.25">
      <c r="B11" s="125" t="s">
        <v>89</v>
      </c>
      <c r="C11" s="125"/>
      <c r="D11" s="125"/>
      <c r="E11" s="125"/>
      <c r="F11" s="125"/>
      <c r="G11" s="125"/>
      <c r="H11" s="125"/>
      <c r="I11" s="125"/>
      <c r="J11" s="125"/>
      <c r="K11" s="125"/>
    </row>
    <row r="13" spans="2:12" x14ac:dyDescent="0.25">
      <c r="B13" s="87">
        <v>1</v>
      </c>
      <c r="C13" s="87" t="s">
        <v>90</v>
      </c>
      <c r="D13" s="87" t="s">
        <v>95</v>
      </c>
      <c r="E13" s="87" t="s">
        <v>91</v>
      </c>
      <c r="F13" s="87" t="s">
        <v>92</v>
      </c>
      <c r="G13" s="87" t="s">
        <v>93</v>
      </c>
      <c r="H13" s="87" t="s">
        <v>94</v>
      </c>
      <c r="I13" s="87" t="s">
        <v>96</v>
      </c>
      <c r="J13" s="87"/>
    </row>
    <row r="14" spans="2:12" x14ac:dyDescent="0.25">
      <c r="B14" s="87" t="s">
        <v>97</v>
      </c>
      <c r="C14" s="87" t="s">
        <v>98</v>
      </c>
      <c r="D14" s="87"/>
      <c r="E14" s="87"/>
      <c r="F14" s="87"/>
      <c r="G14" s="87"/>
      <c r="H14" s="87"/>
      <c r="I14" s="87"/>
      <c r="J14" s="87"/>
    </row>
    <row r="16" spans="2:12" x14ac:dyDescent="0.25">
      <c r="B16" s="87" t="s">
        <v>79</v>
      </c>
      <c r="C16" s="87" t="s">
        <v>99</v>
      </c>
      <c r="D16" s="87" t="s">
        <v>107</v>
      </c>
      <c r="E16" s="87" t="s">
        <v>101</v>
      </c>
      <c r="F16" s="87" t="s">
        <v>102</v>
      </c>
      <c r="G16" s="87" t="s">
        <v>103</v>
      </c>
      <c r="H16" s="87" t="s">
        <v>105</v>
      </c>
      <c r="I16" s="87" t="s">
        <v>106</v>
      </c>
      <c r="J16" s="87" t="s">
        <v>104</v>
      </c>
      <c r="K16" s="88" t="s">
        <v>108</v>
      </c>
      <c r="L16" s="37"/>
    </row>
    <row r="20" spans="2:11" x14ac:dyDescent="0.25">
      <c r="B20" s="125" t="s">
        <v>112</v>
      </c>
      <c r="C20" s="125"/>
      <c r="D20" s="125"/>
      <c r="E20" s="125"/>
      <c r="F20" s="125"/>
      <c r="G20" s="125"/>
      <c r="H20" s="125"/>
      <c r="I20" s="125"/>
      <c r="J20" s="125"/>
      <c r="K20" s="125"/>
    </row>
    <row r="22" spans="2:11" x14ac:dyDescent="0.25">
      <c r="C22" t="s">
        <v>109</v>
      </c>
    </row>
    <row r="23" spans="2:11" x14ac:dyDescent="0.25">
      <c r="C23" s="87" t="s">
        <v>107</v>
      </c>
      <c r="D23" t="s">
        <v>110</v>
      </c>
    </row>
    <row r="25" spans="2:11" x14ac:dyDescent="0.25">
      <c r="C25" s="126" t="s">
        <v>114</v>
      </c>
      <c r="D25" s="126"/>
    </row>
    <row r="26" spans="2:11" x14ac:dyDescent="0.25">
      <c r="C26" s="126"/>
      <c r="D26" s="126"/>
    </row>
    <row r="27" spans="2:11" x14ac:dyDescent="0.25">
      <c r="C27" s="126"/>
      <c r="D27" s="126"/>
    </row>
    <row r="28" spans="2:11" x14ac:dyDescent="0.25">
      <c r="C28" s="126"/>
      <c r="D28" s="126"/>
    </row>
    <row r="29" spans="2:11" x14ac:dyDescent="0.25">
      <c r="C29" s="126"/>
      <c r="D29" s="126"/>
    </row>
    <row r="30" spans="2:11" x14ac:dyDescent="0.25">
      <c r="C30" s="126"/>
      <c r="D30" s="126"/>
    </row>
    <row r="31" spans="2:11" x14ac:dyDescent="0.25">
      <c r="C31" s="126"/>
      <c r="D31" s="126"/>
    </row>
    <row r="32" spans="2:11" x14ac:dyDescent="0.25">
      <c r="C32" s="126"/>
      <c r="D32" s="126"/>
    </row>
    <row r="34" spans="2:11" x14ac:dyDescent="0.25">
      <c r="B34" s="125" t="s">
        <v>111</v>
      </c>
      <c r="C34" s="125"/>
      <c r="D34" s="125"/>
      <c r="E34" s="125"/>
      <c r="F34" s="125"/>
      <c r="G34" s="125"/>
      <c r="H34" s="125"/>
      <c r="I34" s="125"/>
      <c r="J34" s="125"/>
      <c r="K34" s="125"/>
    </row>
    <row r="36" spans="2:11" x14ac:dyDescent="0.25">
      <c r="C36" t="s">
        <v>109</v>
      </c>
    </row>
    <row r="37" spans="2:11" x14ac:dyDescent="0.25">
      <c r="C37" s="87" t="s">
        <v>73</v>
      </c>
      <c r="D37" t="s">
        <v>110</v>
      </c>
    </row>
    <row r="39" spans="2:11" x14ac:dyDescent="0.25">
      <c r="C39" s="126" t="s">
        <v>113</v>
      </c>
      <c r="D39" s="126"/>
    </row>
    <row r="40" spans="2:11" x14ac:dyDescent="0.25">
      <c r="C40" s="126"/>
      <c r="D40" s="126"/>
    </row>
    <row r="41" spans="2:11" x14ac:dyDescent="0.25">
      <c r="C41" s="126"/>
      <c r="D41" s="126"/>
    </row>
    <row r="42" spans="2:11" x14ac:dyDescent="0.25">
      <c r="C42" s="126"/>
      <c r="D42" s="126"/>
    </row>
    <row r="43" spans="2:11" x14ac:dyDescent="0.25">
      <c r="C43" s="126"/>
      <c r="D43" s="126"/>
    </row>
    <row r="44" spans="2:11" x14ac:dyDescent="0.25">
      <c r="C44" s="126"/>
      <c r="D44" s="126"/>
    </row>
    <row r="45" spans="2:11" x14ac:dyDescent="0.25">
      <c r="C45" s="126"/>
      <c r="D45" s="126"/>
    </row>
    <row r="46" spans="2:11" x14ac:dyDescent="0.25">
      <c r="C46" s="126"/>
      <c r="D46" s="126"/>
    </row>
  </sheetData>
  <mergeCells count="6">
    <mergeCell ref="C39:D46"/>
    <mergeCell ref="B2:K2"/>
    <mergeCell ref="B11:K11"/>
    <mergeCell ref="B20:K20"/>
    <mergeCell ref="C25:D32"/>
    <mergeCell ref="B34:K3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BBA0D-CCAD-46D4-A3F5-D18B67C594B5}">
  <dimension ref="A1"/>
  <sheetViews>
    <sheetView workbookViewId="0"/>
  </sheetViews>
  <sheetFormatPr baseColWidth="10" defaultRowHeight="13.8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21:A1000"/>
  <sheetViews>
    <sheetView workbookViewId="0"/>
  </sheetViews>
  <sheetFormatPr baseColWidth="10" defaultColWidth="12.59765625" defaultRowHeight="15" customHeight="1" x14ac:dyDescent="0.25"/>
  <cols>
    <col min="1" max="6" width="12.5976562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CXC(CARTERA)</vt:lpstr>
      <vt:lpstr>CXP (EGRESOS)</vt:lpstr>
      <vt:lpstr>EST.RES</vt:lpstr>
      <vt:lpstr>FLUJO DE CAJA</vt:lpstr>
      <vt:lpstr>PLANTILLAS</vt:lpstr>
      <vt:lpstr>Hoja4</vt:lpstr>
      <vt:lpstr>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Moises</dc:creator>
  <cp:lastModifiedBy>Windows</cp:lastModifiedBy>
  <dcterms:created xsi:type="dcterms:W3CDTF">2014-04-13T22:02:47Z</dcterms:created>
  <dcterms:modified xsi:type="dcterms:W3CDTF">2025-06-03T22:30:40Z</dcterms:modified>
</cp:coreProperties>
</file>